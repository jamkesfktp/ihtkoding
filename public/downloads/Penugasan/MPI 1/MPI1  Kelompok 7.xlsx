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PENTING !!" sheetId="1" r:id="rId5"/>
    <sheet state="visible" name="Soal 1" sheetId="2" r:id="rId6"/>
    <sheet state="visible" name="Soal 2" sheetId="3" r:id="rId7"/>
    <sheet state="visible" name="Soal 3" sheetId="4" r:id="rId8"/>
    <sheet state="visible" name="Soal 4" sheetId="5" r:id="rId9"/>
    <sheet state="visible" name="Soal 5"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tc={8f47772d-4f95-42c3-8046-53459e5a4732}</author>
  </authors>
  <commentList>
    <comment authorId="0" xr:uid="{8f47772d-4f95-42c3-8046-53459e5a4732}" ref="A1">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sharedStrings.xml><?xml version="1.0" encoding="utf-8"?>
<sst xmlns="http://schemas.openxmlformats.org/spreadsheetml/2006/main" count="768" uniqueCount="221">
  <si>
    <t>NOTES PENTING !!!</t>
  </si>
  <si>
    <t>SEMUA IDENTITAS KARENA SUDAH ERM MAKA DIANGGAP LENGKAP (Ditutup untuk menjaga privasi)</t>
  </si>
  <si>
    <t>SEMUA NAMA DOKTER DAN AUTENTIKASI TTD JUGA DIANGGAP LENGKAP (Ditutup untuk menjaga privasi)</t>
  </si>
  <si>
    <t>UNTUK FORM YANG TIDAK BISA DINILAI ATAU N/A MAKA BERIKAN NILAI TERTINGGI YAKNI 5</t>
  </si>
  <si>
    <t>FORMAT ANALISIS RESUME MEDIS UNTUK KLAIM JKN</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</si>
  <si>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</si>
  <si>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No Rekam Medis</t>
  </si>
  <si>
    <t>: 004</t>
  </si>
  <si>
    <t>No SEP</t>
  </si>
  <si>
    <t>: 0044</t>
  </si>
  <si>
    <t>Nama Pasien</t>
  </si>
  <si>
    <t>: EMPAT</t>
  </si>
  <si>
    <t>Nama DPJP</t>
  </si>
  <si>
    <t>: dr. Empat</t>
  </si>
  <si>
    <t>I. ANALISIS KUANTITATIF (KELENGKAPAN ADMINISTRATIF)</t>
  </si>
  <si>
    <t>Skor Maksimal: 100</t>
  </si>
  <si>
    <t>No</t>
  </si>
  <si>
    <t>Komponen Penilaian</t>
  </si>
  <si>
    <t>Skor</t>
  </si>
  <si>
    <t>Definisi Operasional &amp; Kriteria Penilaian</t>
  </si>
  <si>
    <t>Keterangan</t>
  </si>
  <si>
    <t>A</t>
  </si>
  <si>
    <t>SEP (Surat Eligibilitas Peserta)</t>
  </si>
  <si>
    <t>A1</t>
  </si>
  <si>
    <t>Kesesuaian Tanggal</t>
  </si>
  <si>
    <t>Skor 10: Tanggal SEP sesuai dengan tanggal masuk rawat inap.
Skor 0: Tidak sesuai/tidak ada/tidak valid.</t>
  </si>
  <si>
    <t>Dianggap Lengkap</t>
  </si>
  <si>
    <t>B</t>
  </si>
  <si>
    <t>RESUME MEDIS</t>
  </si>
  <si>
    <t>B1</t>
  </si>
  <si>
    <t>Identitas Pasien Lengkap</t>
  </si>
  <si>
    <t>Skor 5: Nama, NIK, no. BPJS, umur, jenis kelamin, alamat lengkap dan sesuai.
Skor 3: Ada 1-2 data yang kurang.
Skor 0: Tidak lengkap/tidak ada.</t>
  </si>
  <si>
    <t>B2</t>
  </si>
  <si>
    <t>Tanggal &amp; Jam Masuk/Keluar</t>
  </si>
  <si>
    <t>Skor 5: Lengkap (tanggal &amp; jam).
Skor 3: Hanya tanggal.
Skor 0: Tidak ada.</t>
  </si>
  <si>
    <t>B3</t>
  </si>
  <si>
    <t>Anamnesis &amp; Kondisi Saat Masuk</t>
  </si>
  <si>
    <t>Skor 5: Keluhan utama dan temuan awal didokumentasikan dengan jelas.
Skor 0: Tidak ada/hanya diagnosa.</t>
  </si>
  <si>
    <t>B4</t>
  </si>
  <si>
    <t>Diagnosa Utama &amp; Sekunder</t>
  </si>
  <si>
    <t>Skor 15: Ditulis lengkap (tidak disingkat), sesuai ICD-10, dan urutan benar (utama -&gt; komplikasi -&gt; komorbid).
Skor 10: Ada singkatan/urutan kurang tepat atau diagnosa utama dan sekunder ditulis dalam 1 kolom dan tidak ada pembeda mana diagnosa utama atau sekunder.
Skor 5: Hanya kode ICD Saja.
Skor 0: Tidak ada.</t>
  </si>
  <si>
    <t>Banyak sekali singkatan (HHD CKD HD ALO ) Diagnosa Utama dan Sekunder ditulis di Kolom Diagnosa lainnya, Hanya Kolom diagnosa utama yang di tulis dan tidak sama atas dan bawah</t>
  </si>
  <si>
    <t>B5</t>
  </si>
  <si>
    <t>Prosedur/Tindakan Medis</t>
  </si>
  <si>
    <t>Skor 15: Semua prosedur (utama &amp; sekunder) ditulis lengkap, termasuk waktu pelaksanaan.
Skor 10: Ada prosedur yang tidak lengkap.
Skor 5: Hanya kode.
Skor 0: Tidak ada.</t>
  </si>
  <si>
    <t>Pada kolom prosedur diatas tidak ditulis, ada tindakan HD namun tidak ada laporan HD</t>
  </si>
  <si>
    <t>B6</t>
  </si>
  <si>
    <t>Pengobatan &amp; Tatalaksana</t>
  </si>
  <si>
    <t>Skor 5: Rincian obat, dosis, dan cara pemberian tercantum.
Skor 0: Tidak diuraikan.</t>
  </si>
  <si>
    <t>B7</t>
  </si>
  <si>
    <t>Hasil Pemeriksaan Penunjang</t>
  </si>
  <si>
    <t>Skor 5: Hasil lab/radiologi/patologi yang kritikal tercantum.
Skor 0: Tidak ada.</t>
  </si>
  <si>
    <t>B8</t>
  </si>
  <si>
    <t>Kondisi &amp; Rencana Saat Pulang</t>
  </si>
  <si>
    <t>Skor 5: Instruksi tindak lanjut spesifik dan kondisi pasien jelas.
Skor 3: Hanya "kontrol ulang".
Skor 0: Tidak ada/tidak logis.</t>
  </si>
  <si>
    <t>B9</t>
  </si>
  <si>
    <t>Autentikasi DPJP (Nama &amp; TTD)</t>
  </si>
  <si>
    <t>Skor 10: Ada TTD dan nama jelas DPJP.
Skor 5: Hanya TTD atau hanya cap.
Skor 0: Tidak ada.</t>
  </si>
  <si>
    <t>B10</t>
  </si>
  <si>
    <t>Tanggal Pembuatan Resume</t>
  </si>
  <si>
    <t>Skor 5: Dibuat ≤ 2x24 jam setelah keluar dan tercantum.
Skor 0: Tidak ada/tidak sesuai.</t>
  </si>
  <si>
    <t>C</t>
  </si>
  <si>
    <t>DOKUMEN PENDUKUNG</t>
  </si>
  <si>
    <t>C1</t>
  </si>
  <si>
    <t>Surat Keterangan Meninggal*</t>
  </si>
  <si>
    <t>Skor 5: Ada dan lengkap (sebab &amp; waktu)
Skor 0: Tidak ada (jika pasien meninggal).
NA: Tidak berlaku untuk pasien dengan cara keluar Persetujuan dokter / dirujuk, APS.</t>
  </si>
  <si>
    <t>Diberi nilai 5 karena pulang hidup</t>
  </si>
  <si>
    <t>C2</t>
  </si>
  <si>
    <t>Laporan Operasi/Tindakan</t>
  </si>
  <si>
    <t>Skor 5: Tersedia dan detail prosedur sesuai resume.
Skor 0: Tidak ada/tidak sesuai.
NA: Tidak berlaku untuk pasien tanpa tindakan operatif.</t>
  </si>
  <si>
    <t>Tidak ada laporan HD, Namun HD Non Operatif , Donya untuk tindakan operatif</t>
  </si>
  <si>
    <t>C3</t>
  </si>
  <si>
    <t>Informed Consent*</t>
  </si>
  <si>
    <t>Skor 5: Tersedia untuk tindakan invasif/berisiko tinggi.
Skor 0: Tidak ada.
NA: Tidak diperlukan jika tidak dilakukan tindakan medis operatif/non operatif.</t>
  </si>
  <si>
    <t>IC transfusi tidak ada</t>
  </si>
  <si>
    <t>TOTAL NILAI KUANTITATIF</t>
  </si>
  <si>
    <t>*Hanya dinilai jika berlaku</t>
  </si>
  <si>
    <t>II. ANALISIS KUALITATIF (KESESUAIAN KLINIS &amp; iDRG)</t>
  </si>
  <si>
    <t>Parameter</t>
  </si>
  <si>
    <t>Kesesuaian Diagnosa</t>
  </si>
  <si>
    <t>Diagnosa Utama vs Temuan Klinis</t>
  </si>
  <si>
    <t>Skor 15: Sangat didukung anamnesis, pemeriksaan fisik, dan penunjang.
Skor 10: Kurang didukung.
Skor 0: Tidak didukung.</t>
  </si>
  <si>
    <t>Diatas ada pneumonia namun di bawah tidak ada pneumonia dan tidak ada bukti Ro, Sputum dan antibiotik</t>
  </si>
  <si>
    <t>A2</t>
  </si>
  <si>
    <t>Diagnosa Sekunder vs Komplikasi/Komorbid</t>
  </si>
  <si>
    <t>Skor 10: Relevan dan dokumentasi jelas.
Skor 5: Kurang relevan.
Skor 0: Tidak relevan.</t>
  </si>
  <si>
    <t>Ada tindakan HD namun tidak ada laporan HD</t>
  </si>
  <si>
    <t>A3</t>
  </si>
  <si>
    <t>Urutan Penulisan Diagnosa</t>
  </si>
  <si>
    <t>Skor 5: Urutan: Utama -&gt; Komplikasi -&gt; Komorbid.
Skor 0: Urutan salah.</t>
  </si>
  <si>
    <t>Kolom atas dan kolom bawah berbeda baik dari urutan diagnosa dan jumlah diagnosa yang dipilih</t>
  </si>
  <si>
    <t>Kesesuaian Tatalaksana</t>
  </si>
  <si>
    <t>Pengobatan dengan Diagnosis</t>
  </si>
  <si>
    <t>Skor 10: Obat sangat tepat sesuai pedoman klinis.
Skor 5: Kurang optimal.
Skor 0: Tidak tepat.</t>
  </si>
  <si>
    <t>Kesesuaian Prosedur Utama &amp; Diagnosa Utama (iDRG)</t>
  </si>
  <si>
    <t>Skor 20: Sangat Sesuai. Prosedur langsung menangani diagnosa utama (e.g., Apendiktomi untuk Apendisitis).
Skor 10: Cukup Sesuai. Hubungan tidak langsung (e.g., Kolonoskopi untuk Ca. Colon).
Skor 5: Tidak Sesuai. Hubungan lemah (e.g., Artroskopi untuk Gagal Jantung).
Skor 0: Kesalahan Prosedur &amp; Diagnosa Utama (Incorrect sequencing)</t>
  </si>
  <si>
    <t>Diagnosa utama perlu konfirmasi dengan dokter karena keluhan masuk adalah panas dan berhari-hari sudah turun, diagnosa utama apakah sepsis ?</t>
  </si>
  <si>
    <t>Kesesuaian Dokumentasi</t>
  </si>
  <si>
    <t>Kelengkapan Data dalam Resume</t>
  </si>
  <si>
    <t>Skor 10: Semua data penting dari RM terangkum.
Skor 5: Ada data minor terlewat.
Skor 0: Ada data major terlewat.</t>
  </si>
  <si>
    <t>Konsistensi dengan Laporan Tindakan</t>
  </si>
  <si>
    <t>Skor 10: Deskripsi prosedur identik antara resume dan laporan.
Skor 5: Ada perbedaan minor.
Skor 0: Ada perbedaan major.</t>
  </si>
  <si>
    <t>Kesesuaian dengan Hasil Penunjang</t>
  </si>
  <si>
    <t>Skor 5: Diagnosa konsisten dengan hasil lab/radiologi.
Skor 0: Tidak konsisten/bertentangan.</t>
  </si>
  <si>
    <t>D</t>
  </si>
  <si>
    <t>Kelayakan Rawat Inap</t>
  </si>
  <si>
    <t>D1</t>
  </si>
  <si>
    <t>Indikasi Rawat Inap</t>
  </si>
  <si>
    <t>Skor 15: Kondisi sangat jelas memerlukan rawat inap.
Skor 10: Indikasi kurang kuat.
Skor 0: Tidak ada indikasi (bisa rawat jalan).</t>
  </si>
  <si>
    <t>TOTAL NILAI KUALITATIF</t>
  </si>
  <si>
    <t>Rekomendasi DIagnosa &amp; Tindakan yang perlu dikonfirmasi ke DPJP</t>
  </si>
  <si>
    <t>no</t>
  </si>
  <si>
    <t>Nama Diagnosa/Tindakan</t>
  </si>
  <si>
    <t>Hal yang perlu dikonfirmasi</t>
  </si>
  <si>
    <t>diagnosa utama</t>
  </si>
  <si>
    <t>pasien masuk dengan demam ( sepsis)</t>
  </si>
  <si>
    <t>Diagnosa Pneumonia ?</t>
  </si>
  <si>
    <t xml:space="preserve">Diatas ada di bawah tidak ada </t>
  </si>
  <si>
    <t>Diagnosa DM</t>
  </si>
  <si>
    <t>Riwayat dan obat ada, tapi diagnosa tidak ada</t>
  </si>
  <si>
    <t>ALO</t>
  </si>
  <si>
    <t>Akibat dari CKD atau CHF</t>
  </si>
  <si>
    <t>CKD karena</t>
  </si>
  <si>
    <t>DM atau HT ?</t>
  </si>
  <si>
    <t>Kesimpulan</t>
  </si>
  <si>
    <t>INTERPRETASI HASIL &amp; TINDAK LANJUT</t>
  </si>
  <si>
    <t>Kategori Nilai</t>
  </si>
  <si>
    <t>Kuantitatif (dari 100)</t>
  </si>
  <si>
    <t>Kualitatif (dari 100)</t>
  </si>
  <si>
    <t>Tindakan</t>
  </si>
  <si>
    <t>Layak Klaim</t>
  </si>
  <si>
    <t>≥ 80</t>
  </si>
  <si>
    <t>Klaim dapat diajukan tanpa koreksi.</t>
  </si>
  <si>
    <t>Perlu Koreksi</t>
  </si>
  <si>
    <t>60 - 79</t>
  </si>
  <si>
    <t>Klaim harus dikoreksi dan diaudit ulang sebelum diajukan.</t>
  </si>
  <si>
    <t>Tidak Layak</t>
  </si>
  <si>
    <t>&lt; 60</t>
  </si>
  <si>
    <t>Klaim berisiko tinggi ditolak. Perlu pemeriksaan mendalam dan mungkin tidak diajukan.</t>
  </si>
  <si>
    <t>Poin Kritis yang Menyebabkan Klaim Ditolak:</t>
  </si>
  <si>
    <t>SEP tidak valid.</t>
  </si>
  <si>
    <t>Tidak ada autentikasi DPJP (B9).</t>
  </si>
  <si>
    <t>Kesesuaian Diagnosa-Prosedur Utama (B2) bernilai 0.</t>
  </si>
  <si>
    <t>Indikasi rawat inap tidak jelas (D1 bernilai 0).</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</si>
  <si>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</si>
  <si>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 005</t>
  </si>
  <si>
    <t>: 0055</t>
  </si>
  <si>
    <t>: LIMA</t>
  </si>
  <si>
    <t>: dr LIMA</t>
  </si>
  <si>
    <t>Dianggap lengkap karena sudah RME</t>
  </si>
  <si>
    <t>Tindakan untuk hemiplegia ? Exercise tidak tertulis</t>
  </si>
  <si>
    <t>Hidup jadi dihitung 5 , lihat notes !!!</t>
  </si>
  <si>
    <t>Tidak ada IC untuk Cathlab</t>
  </si>
  <si>
    <t>Karena tidak ditulis di kolom diagnosa utama namun di diagnosa lainnya</t>
  </si>
  <si>
    <t>Kode I65,3 ? Harusnya I63.1</t>
  </si>
  <si>
    <t>Hemiplegi</t>
  </si>
  <si>
    <t>Apakah dikonsulkan ke S.FKR dan fisioterapis</t>
  </si>
  <si>
    <t>Diagnosa utama stroke infark ?</t>
  </si>
  <si>
    <t>Apakah diagnosa utama berhubungan dengan diagnosa sekunder yang lebih spesifik ?</t>
  </si>
  <si>
    <t>diagnosa DM ? HT ? Hyperlipidemia ? Ada obat</t>
  </si>
  <si>
    <t>Apakah perlu ditambah ?</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</si>
  <si>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</si>
  <si>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 006</t>
  </si>
  <si>
    <t>: 0066</t>
  </si>
  <si>
    <t>: ENAM</t>
  </si>
  <si>
    <t>: dr. ENAM</t>
  </si>
  <si>
    <t>Tidak ditulis lateralisasinya ginjal kanan/kiri, membuat bingung koder. Diagnosa atas dan bawah tidak sama</t>
  </si>
  <si>
    <t>ESWL ? Buktinya apa ? Penulisan Tindakan tidak disertai lateralisasi ginjal kanan/kiri ?</t>
  </si>
  <si>
    <t>Hasil CT Urografi tidak dicantumkan</t>
  </si>
  <si>
    <t>Pasien Pulang hidup diberikan nilai 5</t>
  </si>
  <si>
    <t>Tidak ada IC untuk tindakan operatif</t>
  </si>
  <si>
    <t>Cukup sesuai namun kurang menjelaskan ginjal kiri/kananya, sehingga membuat bingung</t>
  </si>
  <si>
    <t>Hasil CT Urografi tidak ditulis di resume</t>
  </si>
  <si>
    <t>Kiri/Kanan ?</t>
  </si>
  <si>
    <t>DiCTScan kiri namun di diagnosa pra bedah operatifnya batu ginjal kanan ? Dan dilaporan oeprasi ada batu buli namun di resume tidak ada</t>
  </si>
  <si>
    <t>Diagnosa utama ?</t>
  </si>
  <si>
    <t>Batu Ginjal kiri atau DJ enkrustrasi kanan ?</t>
  </si>
  <si>
    <t>URS dan ESWL</t>
  </si>
  <si>
    <t>Untuk Ginjal Kiri atau Kanan ?</t>
  </si>
  <si>
    <t>Tindakan Vesicolitotripsy ?</t>
  </si>
  <si>
    <t>Apakah terdapat diagnosa batu buli ?</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</si>
  <si>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</si>
  <si>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 002</t>
  </si>
  <si>
    <t>: 0022</t>
  </si>
  <si>
    <t>: DUA</t>
  </si>
  <si>
    <t>: dr. DUA</t>
  </si>
  <si>
    <t>Dihitung lengkap</t>
  </si>
  <si>
    <t>Masih ada singkatan untuk adenoca</t>
  </si>
  <si>
    <t>Tidak ada</t>
  </si>
  <si>
    <t>KArena tidak hasil PA</t>
  </si>
  <si>
    <t>Tidak ada tindakan PA untuk menegakkan diagnosa adenoca Prostat</t>
  </si>
  <si>
    <t>Karena tidak ada PA dan kemo</t>
  </si>
  <si>
    <t>Adeno Carcinoma</t>
  </si>
  <si>
    <t>hasil Lab PA</t>
  </si>
  <si>
    <t xml:space="preserve">diagnosa anemia </t>
  </si>
  <si>
    <t>ada transfusi darah, dan HB anemia sedang (8.5)</t>
  </si>
  <si>
    <t>sepsis</t>
  </si>
  <si>
    <t>tidak ada kultur darah</t>
  </si>
  <si>
    <t>pneumonia</t>
  </si>
  <si>
    <t xml:space="preserve">hasil kultur sputum positif --&gt; peneumonia </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</si>
  <si>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</si>
  <si>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 003</t>
  </si>
  <si>
    <t>: 0033</t>
  </si>
  <si>
    <t>: TIGA</t>
  </si>
  <si>
    <t>: dr. TIGA</t>
  </si>
  <si>
    <t>Fornat hanya tanggal tanpa jam</t>
  </si>
  <si>
    <t>Masih ada singkatan</t>
  </si>
  <si>
    <t xml:space="preserve">Hanya ditulis tindakan utama </t>
  </si>
  <si>
    <t>Tidak ada ditulis hanya terlampir (hanya diberikan penjelasan tabahan melalui tulisan tangan)</t>
  </si>
  <si>
    <t>Tidak ada informed consent untuk tindakan SC</t>
  </si>
  <si>
    <t>Diagnosa Utama ?</t>
  </si>
  <si>
    <t>PEB atau KPD</t>
  </si>
  <si>
    <t>KPD ?</t>
  </si>
  <si>
    <t>Penunjang ? Lakmus ? Status Pembukaan VT ?</t>
  </si>
  <si>
    <t>PEB atau HT</t>
  </si>
  <si>
    <t>Karena Usia Kehamilan Sejak 10 Minggu</t>
  </si>
  <si>
    <t>SC</t>
  </si>
  <si>
    <t>Metode Spesifiknya ?</t>
  </si>
  <si>
    <t>Obesitas</t>
  </si>
  <si>
    <t>Konsul Gizi ? Ada hubungan dengan DM ?</t>
  </si>
  <si>
    <t>Resume ditambah Tulisan Tangan</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</si>
</sst>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4.0"/>
      <color rgb="FFFF0000"/>
      <name val="&quot;Aptos Black&quot;"/>
    </font>
    <font>
      <b/>
      <sz val="14.0"/>
      <color rgb="FF0F1115"/>
      <name val="Arial"/>
    </font>
    <font/>
    <font>
      <sz val="12.0"/>
      <color rgb="FF0F1115"/>
      <name val="Quote-cjk-patch"/>
    </font>
    <font>
      <sz val="12.0"/>
      <color rgb="FF0F1115"/>
      <name val="Arial"/>
    </font>
    <font>
      <b/>
      <sz val="10.0"/>
      <color rgb="FF0F1115"/>
      <name val="Arial"/>
    </font>
    <font>
      <sz val="10.0"/>
      <color rgb="FF000000"/>
      <name val="Arial"/>
    </font>
    <font>
      <b/>
      <sz val="12.0"/>
      <color rgb="FF0F1115"/>
      <name val="Quote-cjk-patch"/>
    </font>
    <font>
      <b/>
      <sz val="12.0"/>
      <color rgb="FF0F1115"/>
      <name val="Arial"/>
    </font>
    <font>
      <b/>
      <sz val="10.0"/>
      <color rgb="FF000000"/>
      <name val="Arial"/>
    </font>
    <font>
      <sz val="10.0"/>
      <color rgb="FFFF0000"/>
      <name val="Arial"/>
    </font>
    <font>
      <color rgb="FFFF0000"/>
      <name val="Arial"/>
    </font>
    <font>
      <b/>
      <sz val="8.0"/>
      <color rgb="FF0F1115"/>
      <name val="Quote-cjk-patch"/>
    </font>
    <font>
      <b/>
      <sz val="10.0"/>
      <color rgb="FF0F1115"/>
      <name val="Quote-cjk-patch"/>
    </font>
    <font>
      <b/>
      <sz val="10.0"/>
      <color rgb="FFFF0000"/>
      <name val="Arial"/>
    </font>
    <font>
      <sz val="14.0"/>
      <color rgb="FF0F1115"/>
      <name val="Quote-cjk-patch"/>
    </font>
    <font>
      <b/>
      <sz val="13.0"/>
      <color rgb="FF000000"/>
      <name val="Arial"/>
    </font>
    <font>
      <b/>
      <sz val="12.0"/>
      <color rgb="FF0F1115"/>
      <name val="Century Gothic"/>
    </font>
    <font>
      <b/>
      <sz val="12.0"/>
      <color rgb="FF000000"/>
      <name val="Century Gothic"/>
    </font>
    <font>
      <b/>
      <sz val="11.0"/>
      <color rgb="FF0F1115"/>
      <name val="Quote-cjk-patch"/>
    </font>
    <font>
      <color theme="1"/>
      <name val="Arial"/>
    </font>
    <font>
      <color rgb="FF000000"/>
      <name val="Arial"/>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5E5E5"/>
        <bgColor rgb="FFE5E5E5"/>
      </patternFill>
    </fill>
    <fill>
      <patternFill patternType="solid">
        <fgColor rgb="FFD9EAD3"/>
        <bgColor rgb="FFD9EAD3"/>
      </patternFill>
    </fill>
  </fills>
  <borders count="6">
    <border/>
    <border>
      <left/>
      <top/>
      <bottom/>
    </border>
    <border>
      <top/>
      <bottom/>
    </border>
    <border>
      <left/>
      <right/>
      <top/>
      <bottom/>
    </border>
    <border>
      <left style="thin">
        <color rgb="FF000000"/>
      </left>
      <right style="thin">
        <color rgb="FF000000"/>
      </right>
      <top style="thin">
        <color rgb="FF000000"/>
      </top>
      <bottom style="thin">
        <color rgb="FF000000"/>
      </bottom>
    </border>
    <border>
      <left/>
      <right/>
      <top/>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center" wrapText="0"/>
    </xf>
    <xf borderId="0" fillId="2" fontId="1" numFmtId="0" xfId="0" applyAlignment="1" applyFill="1" applyFont="1">
      <alignment vertical="center"/>
    </xf>
    <xf borderId="1" fillId="3" fontId="2" numFmtId="0" xfId="0" applyAlignment="1" applyBorder="1" applyFill="1" applyFont="1">
      <alignment horizontal="center" vertical="bottom"/>
    </xf>
    <xf borderId="2" fillId="0" fontId="3" numFmtId="0" xfId="0" applyAlignment="1" applyBorder="1" applyFont="1">
      <alignment vertical="center"/>
    </xf>
    <xf borderId="3" fillId="3" fontId="4" numFmtId="0" xfId="0" applyAlignment="1" applyBorder="1" applyFont="1">
      <alignment vertical="bottom"/>
    </xf>
    <xf borderId="1" fillId="3" fontId="5" numFmtId="0" xfId="0" applyAlignment="1" applyBorder="1" applyFont="1">
      <alignment shrinkToFit="0" vertical="bottom" wrapText="1"/>
    </xf>
    <xf borderId="3" fillId="3" fontId="6" numFmtId="0" xfId="0" applyAlignment="1" applyBorder="1" applyFont="1">
      <alignment vertical="bottom"/>
    </xf>
    <xf borderId="0" fillId="0" fontId="7" numFmtId="0" xfId="0" applyAlignment="1" applyFont="1">
      <alignment vertical="bottom"/>
    </xf>
    <xf borderId="4" fillId="3" fontId="8" numFmtId="0" xfId="0" applyAlignment="1" applyBorder="1" applyFont="1">
      <alignment horizontal="left" shrinkToFit="0" vertical="center" wrapText="1"/>
    </xf>
    <xf borderId="4" fillId="3" fontId="9" numFmtId="0" xfId="0" applyAlignment="1" applyBorder="1" applyFont="1">
      <alignment horizontal="center" shrinkToFit="0" vertical="center" wrapText="1"/>
    </xf>
    <xf borderId="4" fillId="0" fontId="10" numFmtId="0" xfId="0" applyAlignment="1" applyBorder="1" applyFont="1">
      <alignment vertical="bottom"/>
    </xf>
    <xf borderId="4" fillId="4" fontId="8" numFmtId="0" xfId="0" applyAlignment="1" applyBorder="1" applyFill="1" applyFont="1">
      <alignment shrinkToFit="0" vertical="center" wrapText="1"/>
    </xf>
    <xf borderId="4" fillId="4" fontId="8" numFmtId="0" xfId="0" applyAlignment="1" applyBorder="1" applyFont="1">
      <alignment horizontal="center" shrinkToFit="0" vertical="center" wrapText="1"/>
    </xf>
    <xf borderId="4" fillId="4" fontId="4" numFmtId="0" xfId="0" applyAlignment="1" applyBorder="1" applyFont="1">
      <alignment shrinkToFit="0" vertical="center" wrapText="1"/>
    </xf>
    <xf borderId="4" fillId="0" fontId="7" numFmtId="0" xfId="0" applyAlignment="1" applyBorder="1" applyFont="1">
      <alignment vertical="bottom"/>
    </xf>
    <xf borderId="4" fillId="4" fontId="5" numFmtId="0" xfId="0" applyAlignment="1" applyBorder="1" applyFont="1">
      <alignment horizontal="center" shrinkToFit="0" vertical="center" wrapText="1"/>
    </xf>
    <xf borderId="4" fillId="0" fontId="11" numFmtId="0" xfId="0" applyAlignment="1" applyBorder="1" applyFont="1">
      <alignment shrinkToFit="0" vertical="bottom" wrapText="1"/>
    </xf>
    <xf borderId="4" fillId="5" fontId="8" numFmtId="0" xfId="0" applyAlignment="1" applyBorder="1" applyFill="1" applyFont="1">
      <alignment shrinkToFit="0" vertical="center" wrapText="1"/>
    </xf>
    <xf borderId="4" fillId="5" fontId="8" numFmtId="0" xfId="0" applyAlignment="1" applyBorder="1" applyFont="1">
      <alignment horizontal="center" shrinkToFit="0" vertical="center" wrapText="1"/>
    </xf>
    <xf borderId="4" fillId="5" fontId="4" numFmtId="0" xfId="0" applyAlignment="1" applyBorder="1" applyFont="1">
      <alignment shrinkToFit="0" vertical="center" wrapText="1"/>
    </xf>
    <xf borderId="4" fillId="5" fontId="5" numFmtId="0" xfId="0" applyAlignment="1" applyBorder="1" applyFont="1">
      <alignment horizontal="center" shrinkToFit="0" vertical="center" wrapText="1"/>
    </xf>
    <xf borderId="4" fillId="5" fontId="5" numFmtId="0" xfId="0" applyAlignment="1" applyBorder="1" applyFont="1">
      <alignment shrinkToFit="0" vertical="center" wrapText="1"/>
    </xf>
    <xf borderId="4" fillId="0" fontId="12" numFmtId="0" xfId="0" applyAlignment="1" applyBorder="1" applyFont="1">
      <alignment horizontal="center" shrinkToFit="0" vertical="top" wrapText="1"/>
    </xf>
    <xf borderId="4" fillId="6" fontId="8" numFmtId="0" xfId="0" applyAlignment="1" applyBorder="1" applyFill="1" applyFont="1">
      <alignment shrinkToFit="0" vertical="center" wrapText="1"/>
    </xf>
    <xf borderId="4" fillId="6" fontId="8" numFmtId="0" xfId="0" applyAlignment="1" applyBorder="1" applyFont="1">
      <alignment horizontal="center" shrinkToFit="0" vertical="center" wrapText="1"/>
    </xf>
    <xf borderId="4" fillId="6" fontId="4" numFmtId="0" xfId="0" applyAlignment="1" applyBorder="1" applyFont="1">
      <alignment shrinkToFit="0" vertical="center" wrapText="1"/>
    </xf>
    <xf borderId="4" fillId="6" fontId="5" numFmtId="0" xfId="0" applyAlignment="1" applyBorder="1" applyFont="1">
      <alignment horizontal="center" shrinkToFit="0" vertical="center" wrapText="1"/>
    </xf>
    <xf borderId="4" fillId="6" fontId="5" numFmtId="0" xfId="0" applyAlignment="1" applyBorder="1" applyFont="1">
      <alignment shrinkToFit="0" vertical="center" wrapText="1"/>
    </xf>
    <xf borderId="4" fillId="3" fontId="12" numFmtId="0" xfId="0" applyAlignment="1" applyBorder="1" applyFont="1">
      <alignment horizontal="center" shrinkToFit="0" vertical="top" wrapText="1"/>
    </xf>
    <xf borderId="5" fillId="7" fontId="4" numFmtId="0" xfId="0" applyAlignment="1" applyBorder="1" applyFill="1" applyFont="1">
      <alignment vertical="bottom"/>
    </xf>
    <xf borderId="5" fillId="7" fontId="4" numFmtId="0" xfId="0" applyAlignment="1" applyBorder="1" applyFont="1">
      <alignment horizontal="center" vertical="bottom"/>
    </xf>
    <xf borderId="0" fillId="0" fontId="12" numFmtId="0" xfId="0" applyAlignment="1" applyFont="1">
      <alignment shrinkToFit="0" vertical="center" wrapText="1"/>
    </xf>
    <xf borderId="3" fillId="3" fontId="13" numFmtId="0" xfId="0" applyAlignment="1" applyBorder="1" applyFont="1">
      <alignment vertical="bottom"/>
    </xf>
    <xf borderId="0" fillId="0" fontId="4" numFmtId="0" xfId="0" applyAlignment="1" applyFont="1">
      <alignment vertical="bottom"/>
    </xf>
    <xf borderId="3" fillId="3" fontId="14" numFmtId="0" xfId="0" applyAlignment="1" applyBorder="1" applyFont="1">
      <alignment vertical="bottom"/>
    </xf>
    <xf borderId="4" fillId="3" fontId="8" numFmtId="0" xfId="0" applyAlignment="1" applyBorder="1" applyFont="1">
      <alignment horizontal="left" vertical="bottom"/>
    </xf>
    <xf borderId="4" fillId="3" fontId="8" numFmtId="0" xfId="0" applyAlignment="1" applyBorder="1" applyFont="1">
      <alignment horizontal="center" vertical="bottom"/>
    </xf>
    <xf borderId="4" fillId="0" fontId="15" numFmtId="0" xfId="0" applyAlignment="1" applyBorder="1" applyFont="1">
      <alignment shrinkToFit="0" vertical="bottom" wrapText="1"/>
    </xf>
    <xf borderId="4" fillId="4" fontId="8" numFmtId="0" xfId="0" applyAlignment="1" applyBorder="1" applyFont="1">
      <alignment vertical="bottom"/>
    </xf>
    <xf borderId="4" fillId="4" fontId="8" numFmtId="0" xfId="0" applyAlignment="1" applyBorder="1" applyFont="1">
      <alignment vertical="center"/>
    </xf>
    <xf borderId="4" fillId="4" fontId="8" numFmtId="0" xfId="0" applyAlignment="1" applyBorder="1" applyFont="1">
      <alignment horizontal="center" vertical="bottom"/>
    </xf>
    <xf borderId="4" fillId="4" fontId="4" numFmtId="0" xfId="0" applyAlignment="1" applyBorder="1" applyFont="1">
      <alignment vertical="bottom"/>
    </xf>
    <xf borderId="4" fillId="4" fontId="4" numFmtId="0" xfId="0" applyAlignment="1" applyBorder="1" applyFont="1">
      <alignment vertical="center"/>
    </xf>
    <xf borderId="4" fillId="4" fontId="5" numFmtId="0" xfId="0" applyAlignment="1" applyBorder="1" applyFont="1">
      <alignment horizontal="center" vertical="bottom"/>
    </xf>
    <xf borderId="4" fillId="5" fontId="8" numFmtId="0" xfId="0" applyAlignment="1" applyBorder="1" applyFont="1">
      <alignment vertical="bottom"/>
    </xf>
    <xf borderId="4" fillId="5" fontId="8" numFmtId="0" xfId="0" applyAlignment="1" applyBorder="1" applyFont="1">
      <alignment vertical="center"/>
    </xf>
    <xf borderId="4" fillId="5" fontId="8" numFmtId="0" xfId="0" applyAlignment="1" applyBorder="1" applyFont="1">
      <alignment horizontal="center" vertical="bottom"/>
    </xf>
    <xf borderId="4" fillId="5" fontId="4" numFmtId="0" xfId="0" applyAlignment="1" applyBorder="1" applyFont="1">
      <alignment vertical="bottom"/>
    </xf>
    <xf borderId="4" fillId="5" fontId="4" numFmtId="0" xfId="0" applyAlignment="1" applyBorder="1" applyFont="1">
      <alignment vertical="center"/>
    </xf>
    <xf borderId="4" fillId="5" fontId="5" numFmtId="0" xfId="0" applyAlignment="1" applyBorder="1" applyFont="1">
      <alignment horizontal="center" vertical="bottom"/>
    </xf>
    <xf borderId="4" fillId="5" fontId="5" numFmtId="0" xfId="0" applyAlignment="1" applyBorder="1" applyFont="1">
      <alignment shrinkToFit="0" vertical="bottom" wrapText="1"/>
    </xf>
    <xf borderId="4" fillId="6" fontId="8" numFmtId="0" xfId="0" applyAlignment="1" applyBorder="1" applyFont="1">
      <alignment vertical="bottom"/>
    </xf>
    <xf borderId="4" fillId="6" fontId="8" numFmtId="0" xfId="0" applyAlignment="1" applyBorder="1" applyFont="1">
      <alignment vertical="center"/>
    </xf>
    <xf borderId="4" fillId="6" fontId="8" numFmtId="0" xfId="0" applyAlignment="1" applyBorder="1" applyFont="1">
      <alignment horizontal="center" vertical="bottom"/>
    </xf>
    <xf borderId="4" fillId="6" fontId="4" numFmtId="0" xfId="0" applyAlignment="1" applyBorder="1" applyFont="1">
      <alignment vertical="bottom"/>
    </xf>
    <xf borderId="4" fillId="6" fontId="4" numFmtId="0" xfId="0" applyAlignment="1" applyBorder="1" applyFont="1">
      <alignment vertical="center"/>
    </xf>
    <xf borderId="4" fillId="6" fontId="5" numFmtId="0" xfId="0" applyAlignment="1" applyBorder="1" applyFont="1">
      <alignment horizontal="center" vertical="bottom"/>
    </xf>
    <xf borderId="4" fillId="8" fontId="8" numFmtId="0" xfId="0" applyAlignment="1" applyBorder="1" applyFill="1" applyFont="1">
      <alignment vertical="bottom"/>
    </xf>
    <xf borderId="4" fillId="8" fontId="8" numFmtId="0" xfId="0" applyAlignment="1" applyBorder="1" applyFont="1">
      <alignment vertical="center"/>
    </xf>
    <xf borderId="4" fillId="8" fontId="8" numFmtId="0" xfId="0" applyAlignment="1" applyBorder="1" applyFont="1">
      <alignment horizontal="center" vertical="bottom"/>
    </xf>
    <xf borderId="4" fillId="8" fontId="4" numFmtId="0" xfId="0" applyAlignment="1" applyBorder="1" applyFont="1">
      <alignment vertical="bottom"/>
    </xf>
    <xf borderId="4" fillId="8" fontId="4" numFmtId="0" xfId="0" applyAlignment="1" applyBorder="1" applyFont="1">
      <alignment vertical="center"/>
    </xf>
    <xf borderId="4" fillId="8" fontId="5" numFmtId="0" xfId="0" applyAlignment="1" applyBorder="1" applyFont="1">
      <alignment horizontal="center" vertical="bottom"/>
    </xf>
    <xf borderId="5" fillId="7" fontId="8" numFmtId="0" xfId="0" applyAlignment="1" applyBorder="1" applyFont="1">
      <alignment horizontal="center" vertical="bottom"/>
    </xf>
    <xf borderId="3" fillId="3" fontId="16" numFmtId="0" xfId="0" applyAlignment="1" applyBorder="1" applyFont="1">
      <alignment vertical="bottom"/>
    </xf>
    <xf borderId="0" fillId="0" fontId="2" numFmtId="0" xfId="0" applyAlignment="1" applyFont="1">
      <alignment vertical="bottom"/>
    </xf>
    <xf borderId="0" fillId="0" fontId="17" numFmtId="0" xfId="0" applyAlignment="1" applyFont="1">
      <alignment vertical="bottom"/>
    </xf>
    <xf borderId="4" fillId="0" fontId="18" numFmtId="0" xfId="0" applyAlignment="1" applyBorder="1" applyFont="1">
      <alignment vertical="bottom"/>
    </xf>
    <xf borderId="4" fillId="0" fontId="19" numFmtId="0" xfId="0" applyAlignment="1" applyBorder="1" applyFont="1">
      <alignment vertical="bottom"/>
    </xf>
    <xf borderId="4" fillId="0" fontId="2" numFmtId="0" xfId="0" applyAlignment="1" applyBorder="1" applyFont="1">
      <alignment vertical="bottom"/>
    </xf>
    <xf borderId="4" fillId="0" fontId="17" numFmtId="0" xfId="0" applyAlignment="1" applyBorder="1" applyFont="1">
      <alignment vertical="bottom"/>
    </xf>
    <xf borderId="3" fillId="2" fontId="2" numFmtId="0" xfId="0" applyAlignment="1" applyBorder="1" applyFont="1">
      <alignment vertical="bottom"/>
    </xf>
    <xf borderId="3" fillId="2" fontId="7" numFmtId="0" xfId="0" applyAlignment="1" applyBorder="1" applyFont="1">
      <alignment vertical="bottom"/>
    </xf>
    <xf borderId="3" fillId="2" fontId="17" numFmtId="0" xfId="0" applyAlignment="1" applyBorder="1" applyFont="1">
      <alignment vertical="bottom"/>
    </xf>
    <xf borderId="3" fillId="3" fontId="20" numFmtId="0" xfId="0" applyAlignment="1" applyBorder="1" applyFont="1">
      <alignment vertical="bottom"/>
    </xf>
    <xf borderId="5" fillId="7" fontId="8" numFmtId="0" xfId="0" applyAlignment="1" applyBorder="1" applyFont="1">
      <alignment horizontal="left" vertical="bottom"/>
    </xf>
    <xf borderId="5" fillId="7" fontId="8" numFmtId="0" xfId="0" applyAlignment="1" applyBorder="1" applyFont="1">
      <alignment horizontal="left" shrinkToFit="0" vertical="bottom" wrapText="1"/>
    </xf>
    <xf borderId="5" fillId="7" fontId="5" numFmtId="0" xfId="0" applyAlignment="1" applyBorder="1" applyFont="1">
      <alignment vertical="bottom"/>
    </xf>
    <xf borderId="5" fillId="7" fontId="4" numFmtId="0" xfId="0" applyAlignment="1" applyBorder="1" applyFont="1">
      <alignment shrinkToFit="0" vertical="bottom" wrapText="1"/>
    </xf>
    <xf borderId="3" fillId="3" fontId="8" numFmtId="0" xfId="0" applyAlignment="1" applyBorder="1" applyFont="1">
      <alignment vertical="bottom"/>
    </xf>
    <xf borderId="0" fillId="0" fontId="21" numFmtId="0" xfId="0" applyAlignment="1" applyFont="1">
      <alignment shrinkToFit="0" vertical="center" wrapText="1"/>
    </xf>
    <xf borderId="4" fillId="3" fontId="8" numFmtId="0" xfId="0" applyAlignment="1" applyBorder="1" applyFont="1">
      <alignment horizontal="center" shrinkToFit="0" vertical="center" wrapText="1"/>
    </xf>
    <xf borderId="4" fillId="0" fontId="10" numFmtId="0" xfId="0" applyAlignment="1" applyBorder="1" applyFont="1">
      <alignment shrinkToFit="0" vertical="bottom" wrapText="1"/>
    </xf>
    <xf borderId="4" fillId="0" fontId="7" numFmtId="0" xfId="0" applyAlignment="1" applyBorder="1" applyFont="1">
      <alignment shrinkToFit="0" vertical="bottom" wrapText="1"/>
    </xf>
    <xf borderId="4" fillId="0" fontId="22" numFmtId="0" xfId="0" applyAlignment="1" applyBorder="1" applyFont="1">
      <alignment shrinkToFit="0" vertical="bottom" wrapText="0"/>
    </xf>
    <xf borderId="4" fillId="0" fontId="17" numFmtId="0" xfId="0" applyAlignment="1" applyBorder="1" applyFont="1">
      <alignment shrinkToFit="0" vertical="bottom" wrapText="0"/>
    </xf>
    <xf borderId="3" fillId="2" fontId="7" numFmtId="0" xfId="0" applyAlignment="1" applyBorder="1" applyFont="1">
      <alignment shrinkToFit="0" vertical="bottom" wrapText="1"/>
    </xf>
    <xf borderId="4" fillId="0" fontId="11" numFmtId="0" xfId="0" applyAlignment="1" applyBorder="1" applyFont="1">
      <alignment horizontal="center" shrinkToFit="0" vertical="bottom" wrapText="1"/>
    </xf>
    <xf borderId="4" fillId="3" fontId="9"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48</xdr:row>
      <xdr:rowOff>0</xdr:rowOff>
    </xdr:from>
    <xdr:ext cx="4705350" cy="1552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ec31df1a-6afa-4d64-8eaa-e8499f8be3f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7T03:35:49.00" personId="{ec31df1a-6afa-4d64-8eaa-e8499f8be3fd}" id="{8f47772d-4f95-42c3-8046-53459e5a4732}" done="0">
    <x18tc:text xml:space="preserve">Isi Dengan Alasan merekomendasi Diagnosa/Tindakan tersebut disertai Bukti Dukung Hasil Analisis Kualitatif
	-Riki Permana Putra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8">
      <c r="B8" s="1" t="s">
        <v>0</v>
      </c>
    </row>
    <row r="9">
      <c r="B9" s="1"/>
    </row>
    <row r="10">
      <c r="B10" s="1" t="s">
        <v>1</v>
      </c>
    </row>
    <row r="11">
      <c r="B11" s="1" t="s">
        <v>2</v>
      </c>
    </row>
    <row r="12">
      <c r="B12" s="1" t="s">
        <v>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10.13"/>
    <col customWidth="1" min="4" max="4" width="67.88"/>
    <col customWidth="1" min="5" max="5" width="20.63"/>
    <col customWidth="1" min="6" max="6" width="56.13"/>
    <col customWidth="1" min="7" max="26" width="12.0"/>
  </cols>
  <sheetData>
    <row r="1">
      <c r="A1" s="2" t="s">
        <v>4</v>
      </c>
      <c r="B1" s="3"/>
      <c r="C1" s="3"/>
      <c r="D1" s="3"/>
      <c r="E1" s="3"/>
    </row>
    <row r="2">
      <c r="A2" s="4"/>
    </row>
    <row r="3">
      <c r="A3" s="5" t="s">
        <v>5</v>
      </c>
      <c r="B3" s="3"/>
      <c r="C3" s="3"/>
      <c r="D3" s="3"/>
      <c r="E3" s="3"/>
    </row>
    <row r="4">
      <c r="A4" s="6"/>
    </row>
    <row r="5">
      <c r="A5" s="6" t="s">
        <v>6</v>
      </c>
      <c r="C5" s="7" t="s">
        <v>7</v>
      </c>
    </row>
    <row r="6">
      <c r="A6" s="6" t="s">
        <v>8</v>
      </c>
      <c r="C6" s="7" t="s">
        <v>9</v>
      </c>
    </row>
    <row r="7">
      <c r="A7" s="6" t="s">
        <v>10</v>
      </c>
      <c r="C7" s="7" t="s">
        <v>11</v>
      </c>
    </row>
    <row r="8">
      <c r="A8" s="6" t="s">
        <v>12</v>
      </c>
      <c r="C8" s="7" t="s">
        <v>13</v>
      </c>
    </row>
    <row r="9">
      <c r="A9" s="6"/>
    </row>
    <row r="10">
      <c r="A10" s="6" t="s">
        <v>14</v>
      </c>
    </row>
    <row r="11">
      <c r="A11" s="4"/>
    </row>
    <row r="12">
      <c r="A12" s="4" t="s">
        <v>15</v>
      </c>
    </row>
    <row r="13">
      <c r="A13" s="4"/>
    </row>
    <row r="14">
      <c r="A14" s="8" t="s">
        <v>16</v>
      </c>
      <c r="B14" s="8" t="s">
        <v>17</v>
      </c>
      <c r="C14" s="9" t="s">
        <v>18</v>
      </c>
      <c r="D14" s="8" t="s">
        <v>19</v>
      </c>
      <c r="E14" s="10" t="s">
        <v>20</v>
      </c>
    </row>
    <row r="15">
      <c r="A15" s="11" t="s">
        <v>21</v>
      </c>
      <c r="B15" s="11" t="s">
        <v>22</v>
      </c>
      <c r="C15" s="12">
        <f>C16</f>
        <v>10</v>
      </c>
      <c r="D15" s="13"/>
      <c r="E15" s="14"/>
    </row>
    <row r="16">
      <c r="A16" s="13" t="s">
        <v>23</v>
      </c>
      <c r="B16" s="13" t="s">
        <v>24</v>
      </c>
      <c r="C16" s="15">
        <v>10.0</v>
      </c>
      <c r="D16" s="13" t="s">
        <v>25</v>
      </c>
      <c r="E16" s="16" t="s">
        <v>26</v>
      </c>
    </row>
    <row r="17">
      <c r="A17" s="17" t="s">
        <v>27</v>
      </c>
      <c r="B17" s="17" t="s">
        <v>28</v>
      </c>
      <c r="C17" s="18">
        <f>SUM(C18:C27)</f>
        <v>65</v>
      </c>
      <c r="D17" s="19"/>
      <c r="E17" s="16"/>
    </row>
    <row r="18">
      <c r="A18" s="19" t="s">
        <v>29</v>
      </c>
      <c r="B18" s="19" t="s">
        <v>30</v>
      </c>
      <c r="C18" s="20">
        <v>5.0</v>
      </c>
      <c r="D18" s="19" t="s">
        <v>31</v>
      </c>
      <c r="E18" s="16"/>
    </row>
    <row r="19">
      <c r="A19" s="19" t="s">
        <v>32</v>
      </c>
      <c r="B19" s="19" t="s">
        <v>33</v>
      </c>
      <c r="C19" s="20">
        <v>5.0</v>
      </c>
      <c r="D19" s="19" t="s">
        <v>34</v>
      </c>
      <c r="E19" s="16"/>
    </row>
    <row r="20">
      <c r="A20" s="19" t="s">
        <v>35</v>
      </c>
      <c r="B20" s="19" t="s">
        <v>36</v>
      </c>
      <c r="C20" s="20">
        <v>5.0</v>
      </c>
      <c r="D20" s="19" t="s">
        <v>37</v>
      </c>
      <c r="E20" s="16"/>
    </row>
    <row r="21" ht="15.75" customHeight="1">
      <c r="A21" s="19" t="s">
        <v>38</v>
      </c>
      <c r="B21" s="19" t="s">
        <v>39</v>
      </c>
      <c r="C21" s="20">
        <v>10.0</v>
      </c>
      <c r="D21" s="21" t="s">
        <v>40</v>
      </c>
      <c r="E21" s="16" t="s">
        <v>41</v>
      </c>
    </row>
    <row r="22" ht="15.75" customHeight="1">
      <c r="A22" s="19" t="s">
        <v>42</v>
      </c>
      <c r="B22" s="19" t="s">
        <v>43</v>
      </c>
      <c r="C22" s="20">
        <v>10.0</v>
      </c>
      <c r="D22" s="19" t="s">
        <v>44</v>
      </c>
      <c r="E22" s="22" t="s">
        <v>45</v>
      </c>
    </row>
    <row r="23" ht="15.75" customHeight="1">
      <c r="A23" s="19" t="s">
        <v>46</v>
      </c>
      <c r="B23" s="19" t="s">
        <v>47</v>
      </c>
      <c r="C23" s="20">
        <v>5.0</v>
      </c>
      <c r="D23" s="19" t="s">
        <v>48</v>
      </c>
      <c r="E23" s="16"/>
    </row>
    <row r="24" ht="15.75" customHeight="1">
      <c r="A24" s="19" t="s">
        <v>49</v>
      </c>
      <c r="B24" s="19" t="s">
        <v>50</v>
      </c>
      <c r="C24" s="20">
        <v>5.0</v>
      </c>
      <c r="D24" s="19" t="s">
        <v>51</v>
      </c>
      <c r="E24" s="16"/>
    </row>
    <row r="25" ht="15.75" customHeight="1">
      <c r="A25" s="19" t="s">
        <v>52</v>
      </c>
      <c r="B25" s="19" t="s">
        <v>53</v>
      </c>
      <c r="C25" s="20">
        <v>5.0</v>
      </c>
      <c r="D25" s="19" t="s">
        <v>54</v>
      </c>
      <c r="E25" s="16"/>
    </row>
    <row r="26" ht="15.75" customHeight="1">
      <c r="A26" s="19" t="s">
        <v>55</v>
      </c>
      <c r="B26" s="19" t="s">
        <v>56</v>
      </c>
      <c r="C26" s="20">
        <v>10.0</v>
      </c>
      <c r="D26" s="19" t="s">
        <v>57</v>
      </c>
      <c r="E26" s="16"/>
    </row>
    <row r="27" ht="15.75" customHeight="1">
      <c r="A27" s="19" t="s">
        <v>58</v>
      </c>
      <c r="B27" s="19" t="s">
        <v>59</v>
      </c>
      <c r="C27" s="20">
        <v>5.0</v>
      </c>
      <c r="D27" s="19" t="s">
        <v>60</v>
      </c>
      <c r="E27" s="16"/>
    </row>
    <row r="28" ht="15.75" customHeight="1">
      <c r="A28" s="23" t="s">
        <v>61</v>
      </c>
      <c r="B28" s="23" t="s">
        <v>62</v>
      </c>
      <c r="C28" s="24">
        <f>SUM(C29:C31)</f>
        <v>10</v>
      </c>
      <c r="D28" s="25"/>
      <c r="E28" s="16"/>
    </row>
    <row r="29" ht="15.75" customHeight="1">
      <c r="A29" s="25" t="s">
        <v>63</v>
      </c>
      <c r="B29" s="25" t="s">
        <v>64</v>
      </c>
      <c r="C29" s="26">
        <v>5.0</v>
      </c>
      <c r="D29" s="27" t="s">
        <v>65</v>
      </c>
      <c r="E29" s="22" t="s">
        <v>66</v>
      </c>
    </row>
    <row r="30" ht="54.0" customHeight="1">
      <c r="A30" s="25" t="s">
        <v>67</v>
      </c>
      <c r="B30" s="25" t="s">
        <v>68</v>
      </c>
      <c r="C30" s="26">
        <v>5.0</v>
      </c>
      <c r="D30" s="27" t="s">
        <v>69</v>
      </c>
      <c r="E30" s="22" t="s">
        <v>70</v>
      </c>
    </row>
    <row r="31" ht="15.75" customHeight="1">
      <c r="A31" s="25" t="s">
        <v>71</v>
      </c>
      <c r="B31" s="25" t="s">
        <v>72</v>
      </c>
      <c r="C31" s="26">
        <v>0.0</v>
      </c>
      <c r="D31" s="27" t="s">
        <v>73</v>
      </c>
      <c r="E31" s="28" t="s">
        <v>74</v>
      </c>
    </row>
    <row r="32" ht="15.75" customHeight="1">
      <c r="A32" s="29"/>
      <c r="B32" s="29" t="s">
        <v>75</v>
      </c>
      <c r="C32" s="30">
        <f>C28+C17+C15</f>
        <v>85</v>
      </c>
      <c r="D32" s="29"/>
      <c r="E32" s="16"/>
    </row>
    <row r="33" ht="4.5" customHeight="1">
      <c r="A33" s="4"/>
      <c r="E33" s="31"/>
    </row>
    <row r="34" ht="15.75" customHeight="1">
      <c r="A34" s="32" t="s">
        <v>76</v>
      </c>
      <c r="E34" s="31"/>
    </row>
    <row r="35" ht="15.75" customHeight="1">
      <c r="A35" s="33"/>
      <c r="E35" s="31"/>
    </row>
    <row r="36" ht="15.75" customHeight="1">
      <c r="A36" s="34" t="s">
        <v>77</v>
      </c>
      <c r="E36" s="31"/>
    </row>
    <row r="37" ht="15.75" customHeight="1">
      <c r="A37" s="4"/>
      <c r="E37" s="31"/>
    </row>
    <row r="38" ht="15.75" customHeight="1">
      <c r="A38" s="4" t="s">
        <v>15</v>
      </c>
      <c r="E38" s="31"/>
    </row>
    <row r="39" ht="15.75" customHeight="1">
      <c r="A39" s="4"/>
      <c r="E39" s="31"/>
    </row>
    <row r="40" ht="15.75" customHeight="1">
      <c r="A40" s="35" t="s">
        <v>16</v>
      </c>
      <c r="B40" s="35" t="s">
        <v>78</v>
      </c>
      <c r="C40" s="36" t="s">
        <v>18</v>
      </c>
      <c r="D40" s="35" t="s">
        <v>19</v>
      </c>
      <c r="E40" s="37" t="s">
        <v>20</v>
      </c>
    </row>
    <row r="41" ht="15.75" customHeight="1">
      <c r="A41" s="38" t="s">
        <v>21</v>
      </c>
      <c r="B41" s="39" t="s">
        <v>79</v>
      </c>
      <c r="C41" s="40">
        <f>C42+C43+C44</f>
        <v>15</v>
      </c>
      <c r="D41" s="41"/>
      <c r="E41" s="16"/>
    </row>
    <row r="42" ht="15.75" customHeight="1">
      <c r="A42" s="42" t="s">
        <v>23</v>
      </c>
      <c r="B42" s="42" t="s">
        <v>80</v>
      </c>
      <c r="C42" s="43">
        <v>10.0</v>
      </c>
      <c r="D42" s="41" t="s">
        <v>81</v>
      </c>
      <c r="E42" s="16" t="s">
        <v>82</v>
      </c>
    </row>
    <row r="43" ht="15.75" customHeight="1">
      <c r="A43" s="42" t="s">
        <v>83</v>
      </c>
      <c r="B43" s="42" t="s">
        <v>84</v>
      </c>
      <c r="C43" s="43">
        <v>5.0</v>
      </c>
      <c r="D43" s="41" t="s">
        <v>85</v>
      </c>
      <c r="E43" s="22" t="s">
        <v>86</v>
      </c>
    </row>
    <row r="44" ht="15.75" customHeight="1">
      <c r="A44" s="42" t="s">
        <v>87</v>
      </c>
      <c r="B44" s="42" t="s">
        <v>88</v>
      </c>
      <c r="C44" s="43">
        <v>0.0</v>
      </c>
      <c r="D44" s="41" t="s">
        <v>89</v>
      </c>
      <c r="E44" s="22" t="s">
        <v>90</v>
      </c>
    </row>
    <row r="45" ht="15.75" customHeight="1">
      <c r="A45" s="44" t="s">
        <v>27</v>
      </c>
      <c r="B45" s="45" t="s">
        <v>91</v>
      </c>
      <c r="C45" s="46">
        <f>C46+C47</f>
        <v>10</v>
      </c>
      <c r="D45" s="47"/>
      <c r="E45" s="16"/>
    </row>
    <row r="46" ht="15.75" customHeight="1">
      <c r="A46" s="47" t="s">
        <v>29</v>
      </c>
      <c r="B46" s="48" t="s">
        <v>92</v>
      </c>
      <c r="C46" s="49">
        <v>10.0</v>
      </c>
      <c r="D46" s="47" t="s">
        <v>93</v>
      </c>
      <c r="E46" s="16"/>
    </row>
    <row r="47" ht="15.75" customHeight="1">
      <c r="A47" s="47" t="s">
        <v>32</v>
      </c>
      <c r="B47" s="48" t="s">
        <v>94</v>
      </c>
      <c r="C47" s="49">
        <v>0.0</v>
      </c>
      <c r="D47" s="50" t="s">
        <v>95</v>
      </c>
      <c r="E47" s="22" t="s">
        <v>96</v>
      </c>
    </row>
    <row r="48" ht="15.75" customHeight="1">
      <c r="A48" s="51" t="s">
        <v>61</v>
      </c>
      <c r="B48" s="52" t="s">
        <v>97</v>
      </c>
      <c r="C48" s="53">
        <f>C49+C50+C51</f>
        <v>25</v>
      </c>
      <c r="D48" s="54"/>
      <c r="E48" s="16"/>
    </row>
    <row r="49" ht="15.75" customHeight="1">
      <c r="A49" s="54" t="s">
        <v>63</v>
      </c>
      <c r="B49" s="55" t="s">
        <v>98</v>
      </c>
      <c r="C49" s="56">
        <v>10.0</v>
      </c>
      <c r="D49" s="54" t="s">
        <v>99</v>
      </c>
      <c r="E49" s="16"/>
    </row>
    <row r="50" ht="15.75" customHeight="1">
      <c r="A50" s="54" t="s">
        <v>67</v>
      </c>
      <c r="B50" s="55" t="s">
        <v>100</v>
      </c>
      <c r="C50" s="56">
        <v>10.0</v>
      </c>
      <c r="D50" s="54" t="s">
        <v>101</v>
      </c>
      <c r="E50" s="16"/>
    </row>
    <row r="51" ht="15.75" customHeight="1">
      <c r="A51" s="54" t="s">
        <v>71</v>
      </c>
      <c r="B51" s="55" t="s">
        <v>102</v>
      </c>
      <c r="C51" s="56">
        <v>5.0</v>
      </c>
      <c r="D51" s="54" t="s">
        <v>103</v>
      </c>
      <c r="E51" s="16"/>
    </row>
    <row r="52" ht="15.75" customHeight="1">
      <c r="A52" s="57" t="s">
        <v>104</v>
      </c>
      <c r="B52" s="58" t="s">
        <v>105</v>
      </c>
      <c r="C52" s="59">
        <f>C53</f>
        <v>15</v>
      </c>
      <c r="D52" s="60"/>
      <c r="E52" s="16"/>
    </row>
    <row r="53" ht="15.75" customHeight="1">
      <c r="A53" s="60" t="s">
        <v>106</v>
      </c>
      <c r="B53" s="61" t="s">
        <v>107</v>
      </c>
      <c r="C53" s="62">
        <v>15.0</v>
      </c>
      <c r="D53" s="60" t="s">
        <v>108</v>
      </c>
      <c r="E53" s="16"/>
    </row>
    <row r="54" ht="15.75" customHeight="1">
      <c r="A54" s="29"/>
      <c r="B54" s="29" t="s">
        <v>109</v>
      </c>
      <c r="C54" s="63">
        <f>C52+C48+C45+C41</f>
        <v>65</v>
      </c>
      <c r="D54" s="29"/>
      <c r="E54" s="16"/>
    </row>
    <row r="55" ht="15.75" customHeight="1">
      <c r="A55" s="64"/>
    </row>
    <row r="56" ht="15.75" customHeight="1">
      <c r="A56" s="65" t="s">
        <v>110</v>
      </c>
      <c r="D56" s="66"/>
    </row>
    <row r="57" ht="15.75" customHeight="1">
      <c r="A57" s="65"/>
      <c r="D57" s="66"/>
    </row>
    <row r="58" ht="15.75" customHeight="1">
      <c r="A58" s="67" t="s">
        <v>111</v>
      </c>
      <c r="B58" s="68" t="s">
        <v>112</v>
      </c>
      <c r="C58" s="68"/>
      <c r="D58" s="68" t="s">
        <v>113</v>
      </c>
    </row>
    <row r="59" ht="15.75" customHeight="1">
      <c r="A59" s="69"/>
      <c r="B59" s="14" t="s">
        <v>114</v>
      </c>
      <c r="C59" s="14"/>
      <c r="D59" s="70" t="s">
        <v>115</v>
      </c>
    </row>
    <row r="60" ht="15.75" customHeight="1">
      <c r="A60" s="69"/>
      <c r="B60" s="14" t="s">
        <v>116</v>
      </c>
      <c r="C60" s="14"/>
      <c r="D60" s="70" t="s">
        <v>117</v>
      </c>
    </row>
    <row r="61" ht="15.75" customHeight="1">
      <c r="A61" s="69"/>
      <c r="B61" s="14" t="s">
        <v>118</v>
      </c>
      <c r="C61" s="14"/>
      <c r="D61" s="70" t="s">
        <v>119</v>
      </c>
    </row>
    <row r="62" ht="15.75" customHeight="1">
      <c r="A62" s="69"/>
      <c r="B62" s="14" t="s">
        <v>120</v>
      </c>
      <c r="C62" s="14"/>
      <c r="D62" s="70" t="s">
        <v>121</v>
      </c>
    </row>
    <row r="63" ht="15.75" customHeight="1">
      <c r="A63" s="69"/>
      <c r="B63" s="14" t="s">
        <v>122</v>
      </c>
      <c r="C63" s="14"/>
      <c r="D63" s="70" t="s">
        <v>123</v>
      </c>
    </row>
    <row r="64" ht="15.75" customHeight="1">
      <c r="A64" s="69"/>
      <c r="B64" s="14"/>
      <c r="C64" s="14"/>
      <c r="D64" s="70"/>
    </row>
    <row r="65" ht="15.75" customHeight="1">
      <c r="A65" s="69"/>
      <c r="B65" s="14"/>
      <c r="C65" s="14"/>
      <c r="D65" s="70"/>
    </row>
    <row r="66" ht="15.75" customHeight="1">
      <c r="A66" s="69"/>
      <c r="B66" s="14"/>
      <c r="C66" s="14"/>
      <c r="D66" s="70"/>
    </row>
    <row r="67" ht="15.75" customHeight="1">
      <c r="A67" s="69"/>
      <c r="B67" s="14"/>
      <c r="C67" s="14"/>
      <c r="D67" s="70"/>
    </row>
    <row r="68" ht="15.75" customHeight="1">
      <c r="A68" s="69"/>
      <c r="B68" s="14"/>
      <c r="C68" s="14"/>
      <c r="D68" s="70"/>
    </row>
    <row r="69" ht="15.75" customHeight="1">
      <c r="A69" s="65"/>
      <c r="D69" s="66"/>
    </row>
    <row r="70" ht="15.75" customHeight="1">
      <c r="A70" s="65"/>
      <c r="D70" s="66"/>
    </row>
    <row r="71" ht="15.75" customHeight="1">
      <c r="A71" s="65"/>
      <c r="D71" s="66"/>
    </row>
    <row r="72" ht="15.75" customHeight="1">
      <c r="A72" s="71" t="s">
        <v>124</v>
      </c>
      <c r="B72" s="72"/>
      <c r="C72" s="72"/>
      <c r="D72" s="73" t="str">
        <f>IF(AND(C32&gt;80,C54&gt;80),"Layak Klaim",IF(AND(C32&gt;=60,C32&lt;=80,C54&gt;80),"Perlu Koreksi",IF(AND(C32&gt;=60,C32&lt;=80,C54&gt;=60,C54&lt;=80),"Perlu Koreksi",IF(AND(C32&gt;80,C54&gt;=60,C54&lt;=80),"Perlu Koreksi","Tidak Layak"))))</f>
        <v>Perlu Koreksi</v>
      </c>
      <c r="E72" s="72"/>
      <c r="F72" s="72"/>
      <c r="G72" s="72"/>
      <c r="H72" s="72"/>
      <c r="I72" s="72"/>
      <c r="J72" s="72"/>
      <c r="K72" s="72"/>
      <c r="L72" s="72"/>
      <c r="M72" s="72"/>
      <c r="N72" s="72"/>
      <c r="O72" s="72"/>
      <c r="P72" s="72"/>
      <c r="Q72" s="72"/>
      <c r="R72" s="72"/>
      <c r="S72" s="72"/>
      <c r="T72" s="72"/>
      <c r="U72" s="72"/>
      <c r="V72" s="72"/>
      <c r="W72" s="72"/>
      <c r="X72" s="72"/>
      <c r="Y72" s="72"/>
      <c r="Z72" s="72"/>
    </row>
    <row r="73" ht="15.75" customHeight="1">
      <c r="A73" s="74"/>
    </row>
    <row r="74" ht="15.75" customHeight="1">
      <c r="A74" s="74" t="s">
        <v>125</v>
      </c>
    </row>
    <row r="75" ht="15.75" customHeight="1">
      <c r="B75" s="75" t="s">
        <v>126</v>
      </c>
      <c r="D75" s="76" t="s">
        <v>127</v>
      </c>
      <c r="E75" s="76" t="s">
        <v>128</v>
      </c>
      <c r="F75" s="75" t="s">
        <v>129</v>
      </c>
    </row>
    <row r="76" ht="15.75" customHeight="1">
      <c r="B76" s="77" t="s">
        <v>130</v>
      </c>
      <c r="D76" s="29" t="s">
        <v>131</v>
      </c>
      <c r="E76" s="29" t="s">
        <v>131</v>
      </c>
      <c r="F76" s="78" t="s">
        <v>132</v>
      </c>
    </row>
    <row r="77" ht="15.75" customHeight="1">
      <c r="B77" s="29" t="s">
        <v>133</v>
      </c>
      <c r="D77" s="29" t="s">
        <v>134</v>
      </c>
      <c r="E77" s="29" t="s">
        <v>134</v>
      </c>
      <c r="F77" s="78" t="s">
        <v>135</v>
      </c>
    </row>
    <row r="78" ht="15.75" customHeight="1">
      <c r="B78" s="29" t="s">
        <v>136</v>
      </c>
      <c r="D78" s="29" t="s">
        <v>137</v>
      </c>
      <c r="E78" s="29" t="s">
        <v>137</v>
      </c>
      <c r="F78" s="78" t="s">
        <v>138</v>
      </c>
    </row>
    <row r="79" ht="15.75" customHeight="1">
      <c r="A79" s="4"/>
    </row>
    <row r="80" ht="15.75" customHeight="1">
      <c r="A80" s="79" t="s">
        <v>139</v>
      </c>
    </row>
    <row r="81" ht="15.75" customHeight="1">
      <c r="A81" s="4" t="s">
        <v>140</v>
      </c>
    </row>
    <row r="82" ht="15.75" customHeight="1">
      <c r="A82" s="4" t="s">
        <v>141</v>
      </c>
    </row>
    <row r="83" ht="15.75" customHeight="1">
      <c r="A83" s="4" t="s">
        <v>142</v>
      </c>
    </row>
    <row r="84" ht="15.75" customHeight="1">
      <c r="A84" s="4" t="s">
        <v>143</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2" t="s">
        <v>4</v>
      </c>
      <c r="B1" s="3"/>
      <c r="C1" s="3"/>
      <c r="D1" s="3"/>
      <c r="E1" s="3"/>
    </row>
    <row r="2">
      <c r="A2" s="4"/>
      <c r="E2" s="80"/>
    </row>
    <row r="3">
      <c r="A3" s="5" t="s">
        <v>144</v>
      </c>
      <c r="B3" s="3"/>
      <c r="C3" s="3"/>
      <c r="D3" s="3"/>
      <c r="E3" s="3"/>
    </row>
    <row r="4">
      <c r="A4" s="6"/>
      <c r="E4" s="80"/>
    </row>
    <row r="5">
      <c r="A5" s="6" t="s">
        <v>6</v>
      </c>
      <c r="C5" s="7" t="s">
        <v>145</v>
      </c>
      <c r="E5" s="80"/>
    </row>
    <row r="6">
      <c r="A6" s="6" t="s">
        <v>8</v>
      </c>
      <c r="C6" s="7" t="s">
        <v>146</v>
      </c>
      <c r="E6" s="80"/>
    </row>
    <row r="7">
      <c r="A7" s="6" t="s">
        <v>10</v>
      </c>
      <c r="C7" s="7" t="s">
        <v>147</v>
      </c>
      <c r="E7" s="80"/>
    </row>
    <row r="8">
      <c r="A8" s="6" t="s">
        <v>12</v>
      </c>
      <c r="C8" s="7" t="s">
        <v>148</v>
      </c>
      <c r="E8" s="80"/>
    </row>
    <row r="9">
      <c r="A9" s="6"/>
      <c r="E9" s="80"/>
    </row>
    <row r="10">
      <c r="A10" s="6" t="s">
        <v>14</v>
      </c>
      <c r="E10" s="80"/>
    </row>
    <row r="11">
      <c r="A11" s="4"/>
      <c r="E11" s="80"/>
    </row>
    <row r="12">
      <c r="A12" s="4" t="s">
        <v>15</v>
      </c>
      <c r="E12" s="80"/>
    </row>
    <row r="13">
      <c r="A13" s="4"/>
      <c r="E13" s="80"/>
    </row>
    <row r="14">
      <c r="A14" s="8" t="s">
        <v>16</v>
      </c>
      <c r="B14" s="8" t="s">
        <v>17</v>
      </c>
      <c r="C14" s="81" t="s">
        <v>18</v>
      </c>
      <c r="D14" s="8" t="s">
        <v>19</v>
      </c>
      <c r="E14" s="82" t="s">
        <v>20</v>
      </c>
    </row>
    <row r="15">
      <c r="A15" s="11" t="s">
        <v>21</v>
      </c>
      <c r="B15" s="11" t="s">
        <v>22</v>
      </c>
      <c r="C15" s="12">
        <f>C16</f>
        <v>10</v>
      </c>
      <c r="D15" s="13"/>
      <c r="E15" s="83"/>
    </row>
    <row r="16">
      <c r="A16" s="13" t="s">
        <v>23</v>
      </c>
      <c r="B16" s="13" t="s">
        <v>24</v>
      </c>
      <c r="C16" s="15">
        <v>10.0</v>
      </c>
      <c r="D16" s="13" t="s">
        <v>25</v>
      </c>
      <c r="E16" s="16"/>
    </row>
    <row r="17">
      <c r="A17" s="17" t="s">
        <v>27</v>
      </c>
      <c r="B17" s="17" t="s">
        <v>28</v>
      </c>
      <c r="C17" s="18">
        <f>SUM(C18:C27)</f>
        <v>65</v>
      </c>
      <c r="D17" s="19"/>
      <c r="E17" s="16"/>
    </row>
    <row r="18">
      <c r="A18" s="19" t="s">
        <v>29</v>
      </c>
      <c r="B18" s="19" t="s">
        <v>30</v>
      </c>
      <c r="C18" s="20">
        <v>5.0</v>
      </c>
      <c r="D18" s="19" t="s">
        <v>31</v>
      </c>
      <c r="E18" s="22" t="s">
        <v>149</v>
      </c>
    </row>
    <row r="19">
      <c r="A19" s="19" t="s">
        <v>32</v>
      </c>
      <c r="B19" s="19" t="s">
        <v>33</v>
      </c>
      <c r="C19" s="20">
        <v>5.0</v>
      </c>
      <c r="D19" s="19" t="s">
        <v>34</v>
      </c>
      <c r="E19" s="16"/>
    </row>
    <row r="20">
      <c r="A20" s="19" t="s">
        <v>35</v>
      </c>
      <c r="B20" s="19" t="s">
        <v>36</v>
      </c>
      <c r="C20" s="20">
        <v>5.0</v>
      </c>
      <c r="D20" s="19" t="s">
        <v>37</v>
      </c>
      <c r="E20" s="16"/>
    </row>
    <row r="21" ht="15.75" customHeight="1">
      <c r="A21" s="19" t="s">
        <v>38</v>
      </c>
      <c r="B21" s="19" t="s">
        <v>39</v>
      </c>
      <c r="C21" s="20">
        <v>15.0</v>
      </c>
      <c r="D21" s="21" t="s">
        <v>40</v>
      </c>
      <c r="E21" s="16"/>
    </row>
    <row r="22" ht="15.75" customHeight="1">
      <c r="A22" s="19" t="s">
        <v>42</v>
      </c>
      <c r="B22" s="19" t="s">
        <v>43</v>
      </c>
      <c r="C22" s="20">
        <v>10.0</v>
      </c>
      <c r="D22" s="19" t="s">
        <v>44</v>
      </c>
      <c r="E22" s="16" t="s">
        <v>150</v>
      </c>
    </row>
    <row r="23" ht="15.75" customHeight="1">
      <c r="A23" s="19" t="s">
        <v>46</v>
      </c>
      <c r="B23" s="19" t="s">
        <v>47</v>
      </c>
      <c r="C23" s="20">
        <v>5.0</v>
      </c>
      <c r="D23" s="19" t="s">
        <v>48</v>
      </c>
      <c r="E23" s="16"/>
    </row>
    <row r="24" ht="15.75" customHeight="1">
      <c r="A24" s="19" t="s">
        <v>49</v>
      </c>
      <c r="B24" s="19" t="s">
        <v>50</v>
      </c>
      <c r="C24" s="20">
        <v>5.0</v>
      </c>
      <c r="D24" s="19" t="s">
        <v>51</v>
      </c>
      <c r="E24" s="16"/>
    </row>
    <row r="25" ht="15.75" customHeight="1">
      <c r="A25" s="19" t="s">
        <v>52</v>
      </c>
      <c r="B25" s="19" t="s">
        <v>53</v>
      </c>
      <c r="C25" s="20">
        <v>5.0</v>
      </c>
      <c r="D25" s="19" t="s">
        <v>54</v>
      </c>
      <c r="E25" s="16"/>
    </row>
    <row r="26" ht="15.75" customHeight="1">
      <c r="A26" s="19" t="s">
        <v>55</v>
      </c>
      <c r="B26" s="19" t="s">
        <v>56</v>
      </c>
      <c r="C26" s="20">
        <v>5.0</v>
      </c>
      <c r="D26" s="19" t="s">
        <v>57</v>
      </c>
      <c r="E26" s="16"/>
    </row>
    <row r="27" ht="15.75" customHeight="1">
      <c r="A27" s="19" t="s">
        <v>58</v>
      </c>
      <c r="B27" s="19" t="s">
        <v>59</v>
      </c>
      <c r="C27" s="20">
        <v>5.0</v>
      </c>
      <c r="D27" s="19" t="s">
        <v>60</v>
      </c>
      <c r="E27" s="16"/>
    </row>
    <row r="28" ht="15.75" customHeight="1">
      <c r="A28" s="23" t="s">
        <v>61</v>
      </c>
      <c r="B28" s="23" t="s">
        <v>62</v>
      </c>
      <c r="C28" s="24">
        <f>SUM(C29:C31)</f>
        <v>10</v>
      </c>
      <c r="D28" s="25"/>
      <c r="E28" s="16"/>
    </row>
    <row r="29" ht="15.75" customHeight="1">
      <c r="A29" s="25" t="s">
        <v>63</v>
      </c>
      <c r="B29" s="25" t="s">
        <v>64</v>
      </c>
      <c r="C29" s="26">
        <v>5.0</v>
      </c>
      <c r="D29" s="27" t="s">
        <v>65</v>
      </c>
      <c r="E29" s="22" t="s">
        <v>151</v>
      </c>
    </row>
    <row r="30" ht="54.0" customHeight="1">
      <c r="A30" s="25" t="s">
        <v>67</v>
      </c>
      <c r="B30" s="25" t="s">
        <v>68</v>
      </c>
      <c r="C30" s="26">
        <v>5.0</v>
      </c>
      <c r="D30" s="27" t="s">
        <v>69</v>
      </c>
      <c r="E30" s="16"/>
    </row>
    <row r="31" ht="15.75" customHeight="1">
      <c r="A31" s="25" t="s">
        <v>71</v>
      </c>
      <c r="B31" s="25" t="s">
        <v>72</v>
      </c>
      <c r="C31" s="26">
        <v>0.0</v>
      </c>
      <c r="D31" s="27" t="s">
        <v>73</v>
      </c>
      <c r="E31" s="22" t="s">
        <v>152</v>
      </c>
    </row>
    <row r="32" ht="15.75" customHeight="1">
      <c r="A32" s="29"/>
      <c r="B32" s="29" t="s">
        <v>75</v>
      </c>
      <c r="C32" s="30">
        <f>C28+C17+C15</f>
        <v>85</v>
      </c>
      <c r="D32" s="29"/>
      <c r="E32" s="16"/>
    </row>
    <row r="33" ht="4.5" customHeight="1">
      <c r="A33" s="4"/>
      <c r="E33" s="31"/>
    </row>
    <row r="34" ht="15.75" customHeight="1">
      <c r="A34" s="32" t="s">
        <v>76</v>
      </c>
      <c r="E34" s="31"/>
    </row>
    <row r="35" ht="15.75" customHeight="1">
      <c r="A35" s="33"/>
      <c r="E35" s="31"/>
    </row>
    <row r="36" ht="15.75" customHeight="1">
      <c r="A36" s="34" t="s">
        <v>77</v>
      </c>
      <c r="E36" s="31"/>
    </row>
    <row r="37" ht="15.75" customHeight="1">
      <c r="A37" s="4"/>
      <c r="E37" s="31"/>
    </row>
    <row r="38" ht="15.75" customHeight="1">
      <c r="A38" s="4" t="s">
        <v>15</v>
      </c>
      <c r="E38" s="31"/>
    </row>
    <row r="39" ht="15.75" customHeight="1">
      <c r="A39" s="4"/>
      <c r="E39" s="31"/>
    </row>
    <row r="40" ht="15.75" customHeight="1">
      <c r="A40" s="35" t="s">
        <v>16</v>
      </c>
      <c r="B40" s="35" t="s">
        <v>78</v>
      </c>
      <c r="C40" s="36" t="s">
        <v>18</v>
      </c>
      <c r="D40" s="35" t="s">
        <v>19</v>
      </c>
      <c r="E40" s="37" t="s">
        <v>20</v>
      </c>
    </row>
    <row r="41" ht="15.75" customHeight="1">
      <c r="A41" s="38" t="s">
        <v>21</v>
      </c>
      <c r="B41" s="39" t="s">
        <v>79</v>
      </c>
      <c r="C41" s="40">
        <f>C42+C43+C44</f>
        <v>25</v>
      </c>
      <c r="D41" s="41"/>
      <c r="E41" s="16"/>
    </row>
    <row r="42" ht="15.75" customHeight="1">
      <c r="A42" s="42" t="s">
        <v>23</v>
      </c>
      <c r="B42" s="42" t="s">
        <v>80</v>
      </c>
      <c r="C42" s="43">
        <v>15.0</v>
      </c>
      <c r="D42" s="41" t="s">
        <v>81</v>
      </c>
      <c r="E42" s="16"/>
    </row>
    <row r="43" ht="15.75" customHeight="1">
      <c r="A43" s="42" t="s">
        <v>83</v>
      </c>
      <c r="B43" s="42" t="s">
        <v>84</v>
      </c>
      <c r="C43" s="43">
        <v>10.0</v>
      </c>
      <c r="D43" s="41" t="s">
        <v>85</v>
      </c>
      <c r="E43" s="16"/>
    </row>
    <row r="44" ht="15.75" customHeight="1">
      <c r="A44" s="42" t="s">
        <v>87</v>
      </c>
      <c r="B44" s="42" t="s">
        <v>88</v>
      </c>
      <c r="C44" s="43">
        <v>0.0</v>
      </c>
      <c r="D44" s="41" t="s">
        <v>89</v>
      </c>
      <c r="E44" s="28" t="s">
        <v>153</v>
      </c>
    </row>
    <row r="45" ht="15.75" customHeight="1">
      <c r="A45" s="44" t="s">
        <v>27</v>
      </c>
      <c r="B45" s="45" t="s">
        <v>91</v>
      </c>
      <c r="C45" s="46">
        <f>C46+C47</f>
        <v>30</v>
      </c>
      <c r="D45" s="47"/>
      <c r="E45" s="16"/>
    </row>
    <row r="46" ht="15.75" customHeight="1">
      <c r="A46" s="47" t="s">
        <v>29</v>
      </c>
      <c r="B46" s="48" t="s">
        <v>92</v>
      </c>
      <c r="C46" s="49">
        <v>10.0</v>
      </c>
      <c r="D46" s="47" t="s">
        <v>93</v>
      </c>
      <c r="E46" s="16"/>
    </row>
    <row r="47" ht="15.75" customHeight="1">
      <c r="A47" s="47" t="s">
        <v>32</v>
      </c>
      <c r="B47" s="48" t="s">
        <v>94</v>
      </c>
      <c r="C47" s="49">
        <v>20.0</v>
      </c>
      <c r="D47" s="50" t="s">
        <v>95</v>
      </c>
      <c r="E47" s="16"/>
    </row>
    <row r="48" ht="15.75" customHeight="1">
      <c r="A48" s="51" t="s">
        <v>61</v>
      </c>
      <c r="B48" s="52" t="s">
        <v>97</v>
      </c>
      <c r="C48" s="53">
        <f>C49+C50+C51</f>
        <v>20</v>
      </c>
      <c r="D48" s="54"/>
      <c r="E48" s="16"/>
    </row>
    <row r="49" ht="15.75" customHeight="1">
      <c r="A49" s="54" t="s">
        <v>63</v>
      </c>
      <c r="B49" s="55" t="s">
        <v>98</v>
      </c>
      <c r="C49" s="56">
        <v>5.0</v>
      </c>
      <c r="D49" s="54" t="s">
        <v>99</v>
      </c>
      <c r="E49" s="22" t="s">
        <v>154</v>
      </c>
    </row>
    <row r="50" ht="15.75" customHeight="1">
      <c r="A50" s="54" t="s">
        <v>67</v>
      </c>
      <c r="B50" s="55" t="s">
        <v>100</v>
      </c>
      <c r="C50" s="56">
        <v>10.0</v>
      </c>
      <c r="D50" s="54" t="s">
        <v>101</v>
      </c>
      <c r="E50" s="16"/>
    </row>
    <row r="51" ht="15.75" customHeight="1">
      <c r="A51" s="54" t="s">
        <v>71</v>
      </c>
      <c r="B51" s="55" t="s">
        <v>102</v>
      </c>
      <c r="C51" s="56">
        <v>5.0</v>
      </c>
      <c r="D51" s="54" t="s">
        <v>103</v>
      </c>
      <c r="E51" s="16"/>
    </row>
    <row r="52" ht="15.75" customHeight="1">
      <c r="A52" s="57" t="s">
        <v>104</v>
      </c>
      <c r="B52" s="58" t="s">
        <v>105</v>
      </c>
      <c r="C52" s="59">
        <f>C53</f>
        <v>15</v>
      </c>
      <c r="D52" s="60"/>
      <c r="E52" s="16"/>
    </row>
    <row r="53" ht="15.75" customHeight="1">
      <c r="A53" s="60" t="s">
        <v>106</v>
      </c>
      <c r="B53" s="61" t="s">
        <v>107</v>
      </c>
      <c r="C53" s="62">
        <v>15.0</v>
      </c>
      <c r="D53" s="60" t="s">
        <v>108</v>
      </c>
      <c r="E53" s="16"/>
    </row>
    <row r="54" ht="15.75" customHeight="1">
      <c r="A54" s="29"/>
      <c r="B54" s="29" t="s">
        <v>109</v>
      </c>
      <c r="C54" s="63">
        <f>C52+C48+C45+C41</f>
        <v>90</v>
      </c>
      <c r="D54" s="29"/>
      <c r="E54" s="83"/>
    </row>
    <row r="55" ht="15.75" customHeight="1">
      <c r="A55" s="64"/>
      <c r="E55" s="80"/>
    </row>
    <row r="56" ht="15.75" customHeight="1">
      <c r="A56" s="65" t="s">
        <v>110</v>
      </c>
      <c r="D56" s="66"/>
      <c r="E56" s="80"/>
    </row>
    <row r="57" ht="15.75" customHeight="1">
      <c r="A57" s="65"/>
      <c r="D57" s="66"/>
      <c r="E57" s="80"/>
    </row>
    <row r="58" ht="15.75" customHeight="1">
      <c r="A58" s="67" t="s">
        <v>111</v>
      </c>
      <c r="B58" s="68" t="s">
        <v>112</v>
      </c>
      <c r="C58" s="68"/>
      <c r="D58" s="68" t="s">
        <v>113</v>
      </c>
      <c r="E58" s="80"/>
    </row>
    <row r="59" ht="15.75" customHeight="1">
      <c r="A59" s="69">
        <v>1.0</v>
      </c>
      <c r="B59" s="84" t="s">
        <v>155</v>
      </c>
      <c r="C59" s="14"/>
      <c r="D59" s="85" t="s">
        <v>156</v>
      </c>
      <c r="E59" s="80"/>
    </row>
    <row r="60" ht="15.75" customHeight="1">
      <c r="A60" s="69">
        <v>2.0</v>
      </c>
      <c r="B60" s="84" t="s">
        <v>157</v>
      </c>
      <c r="C60" s="14"/>
      <c r="D60" s="85" t="s">
        <v>158</v>
      </c>
      <c r="E60" s="80"/>
    </row>
    <row r="61" ht="15.75" customHeight="1">
      <c r="A61" s="69">
        <v>3.0</v>
      </c>
      <c r="B61" s="84" t="s">
        <v>159</v>
      </c>
      <c r="C61" s="14"/>
      <c r="D61" s="85" t="s">
        <v>160</v>
      </c>
      <c r="E61" s="80"/>
    </row>
    <row r="62" ht="15.75" customHeight="1">
      <c r="A62" s="69"/>
      <c r="B62" s="14"/>
      <c r="C62" s="14"/>
      <c r="D62" s="70"/>
      <c r="E62" s="80"/>
    </row>
    <row r="63" ht="15.75" customHeight="1">
      <c r="A63" s="69"/>
      <c r="B63" s="14"/>
      <c r="C63" s="14"/>
      <c r="D63" s="70"/>
      <c r="E63" s="80"/>
    </row>
    <row r="64" ht="15.75" customHeight="1">
      <c r="A64" s="69"/>
      <c r="B64" s="14"/>
      <c r="C64" s="14"/>
      <c r="D64" s="70"/>
      <c r="E64" s="80"/>
    </row>
    <row r="65" ht="15.75" customHeight="1">
      <c r="A65" s="69"/>
      <c r="B65" s="14"/>
      <c r="C65" s="14"/>
      <c r="D65" s="70"/>
      <c r="E65" s="80"/>
    </row>
    <row r="66" ht="15.75" customHeight="1">
      <c r="A66" s="69"/>
      <c r="B66" s="14"/>
      <c r="C66" s="14"/>
      <c r="D66" s="70"/>
      <c r="E66" s="80"/>
    </row>
    <row r="67" ht="15.75" customHeight="1">
      <c r="A67" s="69"/>
      <c r="B67" s="14"/>
      <c r="C67" s="14"/>
      <c r="D67" s="70"/>
      <c r="E67" s="80"/>
    </row>
    <row r="68" ht="15.75" customHeight="1">
      <c r="A68" s="69"/>
      <c r="B68" s="14"/>
      <c r="C68" s="14"/>
      <c r="D68" s="70"/>
      <c r="E68" s="80"/>
    </row>
    <row r="69" ht="15.75" customHeight="1">
      <c r="A69" s="65"/>
      <c r="D69" s="66"/>
      <c r="E69" s="80"/>
    </row>
    <row r="70" ht="15.75" customHeight="1">
      <c r="A70" s="65"/>
      <c r="D70" s="66"/>
      <c r="E70" s="80"/>
    </row>
    <row r="71" ht="15.75" customHeight="1">
      <c r="A71" s="65"/>
      <c r="D71" s="66"/>
      <c r="E71" s="80"/>
    </row>
    <row r="72" ht="15.75" customHeight="1">
      <c r="A72" s="71" t="s">
        <v>124</v>
      </c>
      <c r="B72" s="72"/>
      <c r="C72" s="72"/>
      <c r="D72" s="73" t="str">
        <f>IF(AND(C32&gt;80,C54&gt;80),"Layak Klaim",IF(AND(C32&gt;=60,C32&lt;=80,C54&gt;80),"Perlu Koreksi",IF(AND(C32&gt;=60,C32&lt;=80,C54&gt;=60,C54&lt;=80),"Perlu Koreksi",IF(AND(C32&gt;80,C54&gt;=60,C54&lt;=80),"Perlu Koreksi","Tidak Layak"))))</f>
        <v>Layak Klaim</v>
      </c>
      <c r="E72" s="86"/>
      <c r="F72" s="72"/>
      <c r="G72" s="72"/>
      <c r="H72" s="72"/>
      <c r="I72" s="72"/>
      <c r="J72" s="72"/>
      <c r="K72" s="72"/>
      <c r="L72" s="72"/>
      <c r="M72" s="72"/>
      <c r="N72" s="72"/>
      <c r="O72" s="72"/>
      <c r="P72" s="72"/>
      <c r="Q72" s="72"/>
      <c r="R72" s="72"/>
      <c r="S72" s="72"/>
      <c r="T72" s="72"/>
      <c r="U72" s="72"/>
      <c r="V72" s="72"/>
      <c r="W72" s="72"/>
      <c r="X72" s="72"/>
      <c r="Y72" s="72"/>
      <c r="Z72" s="72"/>
    </row>
    <row r="73" ht="15.75" customHeight="1">
      <c r="A73" s="74"/>
      <c r="E73" s="80"/>
    </row>
    <row r="74" ht="15.75" customHeight="1">
      <c r="A74" s="74" t="s">
        <v>125</v>
      </c>
      <c r="E74" s="80"/>
    </row>
    <row r="75" ht="15.75" customHeight="1">
      <c r="B75" s="75" t="s">
        <v>126</v>
      </c>
      <c r="D75" s="76" t="s">
        <v>127</v>
      </c>
      <c r="E75" s="76" t="s">
        <v>128</v>
      </c>
      <c r="F75" s="75" t="s">
        <v>129</v>
      </c>
    </row>
    <row r="76" ht="15.75" customHeight="1">
      <c r="B76" s="77" t="s">
        <v>130</v>
      </c>
      <c r="D76" s="29" t="s">
        <v>131</v>
      </c>
      <c r="E76" s="78" t="s">
        <v>131</v>
      </c>
      <c r="F76" s="78" t="s">
        <v>132</v>
      </c>
    </row>
    <row r="77" ht="15.75" customHeight="1">
      <c r="B77" s="29" t="s">
        <v>133</v>
      </c>
      <c r="D77" s="29" t="s">
        <v>134</v>
      </c>
      <c r="E77" s="78" t="s">
        <v>134</v>
      </c>
      <c r="F77" s="78" t="s">
        <v>135</v>
      </c>
    </row>
    <row r="78" ht="15.75" customHeight="1">
      <c r="B78" s="29" t="s">
        <v>136</v>
      </c>
      <c r="D78" s="29" t="s">
        <v>137</v>
      </c>
      <c r="E78" s="78" t="s">
        <v>137</v>
      </c>
      <c r="F78" s="78" t="s">
        <v>138</v>
      </c>
    </row>
    <row r="79" ht="15.75" customHeight="1">
      <c r="A79" s="4"/>
      <c r="E79" s="80"/>
    </row>
    <row r="80" ht="15.75" customHeight="1">
      <c r="A80" s="79" t="s">
        <v>139</v>
      </c>
      <c r="E80" s="80"/>
    </row>
    <row r="81" ht="15.75" customHeight="1">
      <c r="A81" s="4" t="s">
        <v>140</v>
      </c>
      <c r="E81" s="80"/>
    </row>
    <row r="82" ht="15.75" customHeight="1">
      <c r="A82" s="4" t="s">
        <v>141</v>
      </c>
      <c r="E82" s="80"/>
    </row>
    <row r="83" ht="15.75" customHeight="1">
      <c r="A83" s="4" t="s">
        <v>142</v>
      </c>
      <c r="E83" s="80"/>
    </row>
    <row r="84" ht="15.75" customHeight="1">
      <c r="A84" s="4" t="s">
        <v>143</v>
      </c>
      <c r="E84" s="80"/>
    </row>
    <row r="85" ht="15.75" customHeight="1">
      <c r="E85" s="80"/>
    </row>
    <row r="86" ht="15.75" customHeight="1">
      <c r="E86" s="80"/>
    </row>
    <row r="87" ht="15.75" customHeight="1">
      <c r="E87" s="80"/>
    </row>
    <row r="88" ht="15.75" customHeight="1">
      <c r="E88" s="80"/>
    </row>
    <row r="89" ht="15.75" customHeight="1">
      <c r="E89" s="80"/>
    </row>
    <row r="90" ht="15.75" customHeight="1">
      <c r="E90" s="80"/>
    </row>
    <row r="91" ht="15.75" customHeight="1">
      <c r="E91" s="80"/>
    </row>
    <row r="92" ht="15.75" customHeight="1">
      <c r="E92" s="80"/>
    </row>
    <row r="93" ht="15.75" customHeight="1">
      <c r="E93" s="80"/>
    </row>
    <row r="94" ht="15.75" customHeight="1">
      <c r="E94" s="80"/>
    </row>
    <row r="95" ht="15.75" customHeight="1">
      <c r="E95" s="80"/>
    </row>
    <row r="96" ht="15.75" customHeight="1">
      <c r="E96" s="80"/>
    </row>
    <row r="97" ht="15.75" customHeight="1">
      <c r="E97" s="80"/>
    </row>
    <row r="98" ht="15.75" customHeight="1">
      <c r="E98" s="80"/>
    </row>
    <row r="99" ht="15.75" customHeight="1">
      <c r="E99" s="80"/>
    </row>
    <row r="100" ht="15.75" customHeight="1">
      <c r="E100" s="80"/>
    </row>
    <row r="101" ht="15.75" customHeight="1">
      <c r="E101" s="80"/>
    </row>
    <row r="102" ht="15.75" customHeight="1">
      <c r="E102" s="80"/>
    </row>
    <row r="103" ht="15.75" customHeight="1">
      <c r="E103" s="80"/>
    </row>
    <row r="104" ht="15.75" customHeight="1">
      <c r="E104" s="80"/>
    </row>
    <row r="105" ht="15.75" customHeight="1">
      <c r="E105" s="80"/>
    </row>
    <row r="106" ht="15.75" customHeight="1">
      <c r="E106" s="80"/>
    </row>
    <row r="107" ht="15.75" customHeight="1">
      <c r="E107" s="80"/>
    </row>
    <row r="108" ht="15.75" customHeight="1">
      <c r="E108" s="80"/>
    </row>
    <row r="109" ht="15.75" customHeight="1">
      <c r="E109" s="80"/>
    </row>
    <row r="110" ht="15.75" customHeight="1">
      <c r="E110" s="80"/>
    </row>
    <row r="111" ht="15.75" customHeight="1">
      <c r="E111" s="80"/>
    </row>
    <row r="112" ht="15.75" customHeight="1">
      <c r="E112" s="80"/>
    </row>
    <row r="113" ht="15.75" customHeight="1">
      <c r="E113" s="80"/>
    </row>
    <row r="114" ht="15.75" customHeight="1">
      <c r="E114" s="80"/>
    </row>
    <row r="115" ht="15.75" customHeight="1">
      <c r="E115" s="80"/>
    </row>
    <row r="116" ht="15.75" customHeight="1">
      <c r="E116" s="80"/>
    </row>
    <row r="117" ht="15.75" customHeight="1">
      <c r="E117" s="80"/>
    </row>
    <row r="118" ht="15.75" customHeight="1">
      <c r="E118" s="80"/>
    </row>
    <row r="119" ht="15.75" customHeight="1">
      <c r="E119" s="80"/>
    </row>
    <row r="120" ht="15.75" customHeight="1">
      <c r="E120" s="80"/>
    </row>
    <row r="121" ht="15.75" customHeight="1">
      <c r="E121" s="80"/>
    </row>
    <row r="122" ht="15.75" customHeight="1">
      <c r="E122" s="80"/>
    </row>
    <row r="123" ht="15.75" customHeight="1">
      <c r="E123" s="80"/>
    </row>
    <row r="124" ht="15.75" customHeight="1">
      <c r="E124" s="80"/>
    </row>
    <row r="125" ht="15.75" customHeight="1">
      <c r="E125" s="80"/>
    </row>
    <row r="126" ht="15.75" customHeight="1">
      <c r="E126" s="80"/>
    </row>
    <row r="127" ht="15.75" customHeight="1">
      <c r="E127" s="80"/>
    </row>
    <row r="128" ht="15.75" customHeight="1">
      <c r="E128" s="80"/>
    </row>
    <row r="129" ht="15.75" customHeight="1">
      <c r="E129" s="80"/>
    </row>
    <row r="130" ht="15.75" customHeight="1">
      <c r="E130" s="80"/>
    </row>
    <row r="131" ht="15.75" customHeight="1">
      <c r="E131" s="80"/>
    </row>
    <row r="132" ht="15.75" customHeight="1">
      <c r="E132" s="80"/>
    </row>
    <row r="133" ht="15.75" customHeight="1">
      <c r="E133" s="80"/>
    </row>
    <row r="134" ht="15.75" customHeight="1">
      <c r="E134" s="80"/>
    </row>
    <row r="135" ht="15.75" customHeight="1">
      <c r="E135" s="80"/>
    </row>
    <row r="136" ht="15.75" customHeight="1">
      <c r="E136" s="80"/>
    </row>
    <row r="137" ht="15.75" customHeight="1">
      <c r="E137" s="80"/>
    </row>
    <row r="138" ht="15.75" customHeight="1">
      <c r="E138" s="80"/>
    </row>
    <row r="139" ht="15.75" customHeight="1">
      <c r="E139" s="80"/>
    </row>
    <row r="140" ht="15.75" customHeight="1">
      <c r="E140" s="80"/>
    </row>
    <row r="141" ht="15.75" customHeight="1">
      <c r="E141" s="80"/>
    </row>
    <row r="142" ht="15.75" customHeight="1">
      <c r="E142" s="80"/>
    </row>
    <row r="143" ht="15.75" customHeight="1">
      <c r="E143" s="80"/>
    </row>
    <row r="144" ht="15.75" customHeight="1">
      <c r="E144" s="80"/>
    </row>
    <row r="145" ht="15.75" customHeight="1">
      <c r="E145" s="80"/>
    </row>
    <row r="146" ht="15.75" customHeight="1">
      <c r="E146" s="80"/>
    </row>
    <row r="147" ht="15.75" customHeight="1">
      <c r="E147" s="80"/>
    </row>
    <row r="148" ht="15.75" customHeight="1">
      <c r="E148" s="80"/>
    </row>
    <row r="149" ht="15.75" customHeight="1">
      <c r="E149" s="80"/>
    </row>
    <row r="150" ht="15.75" customHeight="1">
      <c r="E150" s="80"/>
    </row>
    <row r="151" ht="15.75" customHeight="1">
      <c r="E151" s="80"/>
    </row>
    <row r="152" ht="15.75" customHeight="1">
      <c r="E152" s="80"/>
    </row>
    <row r="153" ht="15.75" customHeight="1">
      <c r="E153" s="80"/>
    </row>
    <row r="154" ht="15.75" customHeight="1">
      <c r="E154" s="80"/>
    </row>
    <row r="155" ht="15.75" customHeight="1">
      <c r="E155" s="80"/>
    </row>
    <row r="156" ht="15.75" customHeight="1">
      <c r="E156" s="80"/>
    </row>
    <row r="157" ht="15.75" customHeight="1">
      <c r="E157" s="80"/>
    </row>
    <row r="158" ht="15.75" customHeight="1">
      <c r="E158" s="80"/>
    </row>
    <row r="159" ht="15.75" customHeight="1">
      <c r="E159" s="80"/>
    </row>
    <row r="160" ht="15.75" customHeight="1">
      <c r="E160" s="80"/>
    </row>
    <row r="161" ht="15.75" customHeight="1">
      <c r="E161" s="80"/>
    </row>
    <row r="162" ht="15.75" customHeight="1">
      <c r="E162" s="80"/>
    </row>
    <row r="163" ht="15.75" customHeight="1">
      <c r="E163" s="80"/>
    </row>
    <row r="164" ht="15.75" customHeight="1">
      <c r="E164" s="80"/>
    </row>
    <row r="165" ht="15.75" customHeight="1">
      <c r="E165" s="80"/>
    </row>
    <row r="166" ht="15.75" customHeight="1">
      <c r="E166" s="80"/>
    </row>
    <row r="167" ht="15.75" customHeight="1">
      <c r="E167" s="80"/>
    </row>
    <row r="168" ht="15.75" customHeight="1">
      <c r="E168" s="80"/>
    </row>
    <row r="169" ht="15.75" customHeight="1">
      <c r="E169" s="80"/>
    </row>
    <row r="170" ht="15.75" customHeight="1">
      <c r="E170" s="80"/>
    </row>
    <row r="171" ht="15.75" customHeight="1">
      <c r="E171" s="80"/>
    </row>
    <row r="172" ht="15.75" customHeight="1">
      <c r="E172" s="80"/>
    </row>
    <row r="173" ht="15.75" customHeight="1">
      <c r="E173" s="80"/>
    </row>
    <row r="174" ht="15.75" customHeight="1">
      <c r="E174" s="80"/>
    </row>
    <row r="175" ht="15.75" customHeight="1">
      <c r="E175" s="80"/>
    </row>
    <row r="176" ht="15.75" customHeight="1">
      <c r="E176" s="80"/>
    </row>
    <row r="177" ht="15.75" customHeight="1">
      <c r="E177" s="80"/>
    </row>
    <row r="178" ht="15.75" customHeight="1">
      <c r="E178" s="80"/>
    </row>
    <row r="179" ht="15.75" customHeight="1">
      <c r="E179" s="80"/>
    </row>
    <row r="180" ht="15.75" customHeight="1">
      <c r="E180" s="80"/>
    </row>
    <row r="181" ht="15.75" customHeight="1">
      <c r="E181" s="80"/>
    </row>
    <row r="182" ht="15.75" customHeight="1">
      <c r="E182" s="80"/>
    </row>
    <row r="183" ht="15.75" customHeight="1">
      <c r="E183" s="80"/>
    </row>
    <row r="184" ht="15.75" customHeight="1">
      <c r="E184" s="80"/>
    </row>
    <row r="185" ht="15.75" customHeight="1">
      <c r="E185" s="80"/>
    </row>
    <row r="186" ht="15.75" customHeight="1">
      <c r="E186" s="80"/>
    </row>
    <row r="187" ht="15.75" customHeight="1">
      <c r="E187" s="80"/>
    </row>
    <row r="188" ht="15.75" customHeight="1">
      <c r="E188" s="80"/>
    </row>
    <row r="189" ht="15.75" customHeight="1">
      <c r="E189" s="80"/>
    </row>
    <row r="190" ht="15.75" customHeight="1">
      <c r="E190" s="80"/>
    </row>
    <row r="191" ht="15.75" customHeight="1">
      <c r="E191" s="80"/>
    </row>
    <row r="192" ht="15.75" customHeight="1">
      <c r="E192" s="80"/>
    </row>
    <row r="193" ht="15.75" customHeight="1">
      <c r="E193" s="80"/>
    </row>
    <row r="194" ht="15.75" customHeight="1">
      <c r="E194" s="80"/>
    </row>
    <row r="195" ht="15.75" customHeight="1">
      <c r="E195" s="80"/>
    </row>
    <row r="196" ht="15.75" customHeight="1">
      <c r="E196" s="80"/>
    </row>
    <row r="197" ht="15.75" customHeight="1">
      <c r="E197" s="80"/>
    </row>
    <row r="198" ht="15.75" customHeight="1">
      <c r="E198" s="80"/>
    </row>
    <row r="199" ht="15.75" customHeight="1">
      <c r="E199" s="80"/>
    </row>
    <row r="200" ht="15.75" customHeight="1">
      <c r="E200" s="80"/>
    </row>
    <row r="201" ht="15.75" customHeight="1">
      <c r="E201" s="80"/>
    </row>
    <row r="202" ht="15.75" customHeight="1">
      <c r="E202" s="80"/>
    </row>
    <row r="203" ht="15.75" customHeight="1">
      <c r="E203" s="80"/>
    </row>
    <row r="204" ht="15.75" customHeight="1">
      <c r="E204" s="80"/>
    </row>
    <row r="205" ht="15.75" customHeight="1">
      <c r="E205" s="80"/>
    </row>
    <row r="206" ht="15.75" customHeight="1">
      <c r="E206" s="80"/>
    </row>
    <row r="207" ht="15.75" customHeight="1">
      <c r="E207" s="80"/>
    </row>
    <row r="208" ht="15.75" customHeight="1">
      <c r="E208" s="80"/>
    </row>
    <row r="209" ht="15.75" customHeight="1">
      <c r="E209" s="80"/>
    </row>
    <row r="210" ht="15.75" customHeight="1">
      <c r="E210" s="80"/>
    </row>
    <row r="211" ht="15.75" customHeight="1">
      <c r="E211" s="80"/>
    </row>
    <row r="212" ht="15.75" customHeight="1">
      <c r="E212" s="80"/>
    </row>
    <row r="213" ht="15.75" customHeight="1">
      <c r="E213" s="80"/>
    </row>
    <row r="214" ht="15.75" customHeight="1">
      <c r="E214" s="80"/>
    </row>
    <row r="215" ht="15.75" customHeight="1">
      <c r="E215" s="80"/>
    </row>
    <row r="216" ht="15.75" customHeight="1">
      <c r="E216" s="80"/>
    </row>
    <row r="217" ht="15.75" customHeight="1">
      <c r="E217" s="80"/>
    </row>
    <row r="218" ht="15.75" customHeight="1">
      <c r="E218" s="80"/>
    </row>
    <row r="219" ht="15.75" customHeight="1">
      <c r="E219" s="80"/>
    </row>
    <row r="220" ht="15.75" customHeight="1">
      <c r="E220" s="80"/>
    </row>
    <row r="221" ht="15.75" customHeight="1">
      <c r="E221" s="80"/>
    </row>
    <row r="222" ht="15.75" customHeight="1">
      <c r="E222" s="80"/>
    </row>
    <row r="223" ht="15.75" customHeight="1">
      <c r="E223" s="80"/>
    </row>
    <row r="224" ht="15.75" customHeight="1">
      <c r="E224" s="80"/>
    </row>
    <row r="225" ht="15.75" customHeight="1">
      <c r="E225" s="80"/>
    </row>
    <row r="226" ht="15.75" customHeight="1">
      <c r="E226" s="80"/>
    </row>
    <row r="227" ht="15.75" customHeight="1">
      <c r="E227" s="80"/>
    </row>
    <row r="228" ht="15.75" customHeight="1">
      <c r="E228" s="80"/>
    </row>
    <row r="229" ht="15.75" customHeight="1">
      <c r="E229" s="80"/>
    </row>
    <row r="230" ht="15.75" customHeight="1">
      <c r="E230" s="80"/>
    </row>
    <row r="231" ht="15.75" customHeight="1">
      <c r="E231" s="80"/>
    </row>
    <row r="232" ht="15.75" customHeight="1">
      <c r="E232" s="80"/>
    </row>
    <row r="233" ht="15.75" customHeight="1">
      <c r="E233" s="80"/>
    </row>
    <row r="234" ht="15.75" customHeight="1">
      <c r="E234" s="80"/>
    </row>
    <row r="235" ht="15.75" customHeight="1">
      <c r="E235" s="80"/>
    </row>
    <row r="236" ht="15.75" customHeight="1">
      <c r="E236" s="80"/>
    </row>
    <row r="237" ht="15.75" customHeight="1">
      <c r="E237" s="80"/>
    </row>
    <row r="238" ht="15.75" customHeight="1">
      <c r="E238" s="80"/>
    </row>
    <row r="239" ht="15.75" customHeight="1">
      <c r="E239" s="80"/>
    </row>
    <row r="240" ht="15.75" customHeight="1">
      <c r="E240" s="80"/>
    </row>
    <row r="241" ht="15.75" customHeight="1">
      <c r="E241" s="80"/>
    </row>
    <row r="242" ht="15.75" customHeight="1">
      <c r="E242" s="80"/>
    </row>
    <row r="243" ht="15.75" customHeight="1">
      <c r="E243" s="80"/>
    </row>
    <row r="244" ht="15.75" customHeight="1">
      <c r="E244" s="80"/>
    </row>
    <row r="245" ht="15.75" customHeight="1">
      <c r="E245" s="80"/>
    </row>
    <row r="246" ht="15.75" customHeight="1">
      <c r="E246" s="80"/>
    </row>
    <row r="247" ht="15.75" customHeight="1">
      <c r="E247" s="80"/>
    </row>
    <row r="248" ht="15.75" customHeight="1">
      <c r="E248" s="80"/>
    </row>
    <row r="249" ht="15.75" customHeight="1">
      <c r="E249" s="80"/>
    </row>
    <row r="250" ht="15.75" customHeight="1">
      <c r="E250" s="80"/>
    </row>
    <row r="251" ht="15.75" customHeight="1">
      <c r="E251" s="80"/>
    </row>
    <row r="252" ht="15.75" customHeight="1">
      <c r="E252" s="80"/>
    </row>
    <row r="253" ht="15.75" customHeight="1">
      <c r="E253" s="80"/>
    </row>
    <row r="254" ht="15.75" customHeight="1">
      <c r="E254" s="80"/>
    </row>
    <row r="255" ht="15.75" customHeight="1">
      <c r="E255" s="80"/>
    </row>
    <row r="256" ht="15.75" customHeight="1">
      <c r="E256" s="80"/>
    </row>
    <row r="257" ht="15.75" customHeight="1">
      <c r="E257" s="80"/>
    </row>
    <row r="258" ht="15.75" customHeight="1">
      <c r="E258" s="80"/>
    </row>
    <row r="259" ht="15.75" customHeight="1">
      <c r="E259" s="80"/>
    </row>
    <row r="260" ht="15.75" customHeight="1">
      <c r="E260" s="80"/>
    </row>
    <row r="261" ht="15.75" customHeight="1">
      <c r="E261" s="80"/>
    </row>
    <row r="262" ht="15.75" customHeight="1">
      <c r="E262" s="80"/>
    </row>
    <row r="263" ht="15.75" customHeight="1">
      <c r="E263" s="80"/>
    </row>
    <row r="264" ht="15.75" customHeight="1">
      <c r="E264" s="80"/>
    </row>
    <row r="265" ht="15.75" customHeight="1">
      <c r="E265" s="80"/>
    </row>
    <row r="266" ht="15.75" customHeight="1">
      <c r="E266" s="80"/>
    </row>
    <row r="267" ht="15.75" customHeight="1">
      <c r="E267" s="80"/>
    </row>
    <row r="268" ht="15.75" customHeight="1">
      <c r="E268" s="80"/>
    </row>
    <row r="269" ht="15.75" customHeight="1">
      <c r="E269" s="80"/>
    </row>
    <row r="270" ht="15.75" customHeight="1">
      <c r="E270" s="80"/>
    </row>
    <row r="271" ht="15.75" customHeight="1">
      <c r="E271" s="80"/>
    </row>
    <row r="272" ht="15.75" customHeight="1">
      <c r="E272" s="80"/>
    </row>
    <row r="273" ht="15.75" customHeight="1">
      <c r="E273" s="80"/>
    </row>
    <row r="274" ht="15.75" customHeight="1">
      <c r="E274" s="80"/>
    </row>
    <row r="275" ht="15.75" customHeight="1">
      <c r="E275" s="80"/>
    </row>
    <row r="276" ht="15.75" customHeight="1">
      <c r="E276" s="80"/>
    </row>
    <row r="277" ht="15.75" customHeight="1">
      <c r="E277" s="80"/>
    </row>
    <row r="278" ht="15.75" customHeight="1">
      <c r="E278" s="80"/>
    </row>
    <row r="279" ht="15.75" customHeight="1">
      <c r="E279" s="80"/>
    </row>
    <row r="280" ht="15.75" customHeight="1">
      <c r="E280" s="80"/>
    </row>
    <row r="281" ht="15.75" customHeight="1">
      <c r="E281" s="80"/>
    </row>
    <row r="282" ht="15.75" customHeight="1">
      <c r="E282" s="80"/>
    </row>
    <row r="283" ht="15.75" customHeight="1">
      <c r="E283" s="80"/>
    </row>
    <row r="284" ht="15.75" customHeight="1">
      <c r="E284" s="80"/>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2" t="s">
        <v>4</v>
      </c>
      <c r="B1" s="3"/>
      <c r="C1" s="3"/>
      <c r="D1" s="3"/>
      <c r="E1" s="3"/>
    </row>
    <row r="2">
      <c r="A2" s="4"/>
    </row>
    <row r="3">
      <c r="A3" s="5" t="s">
        <v>161</v>
      </c>
      <c r="B3" s="3"/>
      <c r="C3" s="3"/>
      <c r="D3" s="3"/>
      <c r="E3" s="3"/>
    </row>
    <row r="4">
      <c r="A4" s="6"/>
    </row>
    <row r="5">
      <c r="A5" s="6" t="s">
        <v>6</v>
      </c>
      <c r="C5" s="7" t="s">
        <v>162</v>
      </c>
    </row>
    <row r="6">
      <c r="A6" s="6" t="s">
        <v>8</v>
      </c>
      <c r="C6" s="7" t="s">
        <v>163</v>
      </c>
    </row>
    <row r="7">
      <c r="A7" s="6" t="s">
        <v>10</v>
      </c>
      <c r="C7" s="7" t="s">
        <v>164</v>
      </c>
    </row>
    <row r="8">
      <c r="A8" s="6" t="s">
        <v>12</v>
      </c>
      <c r="C8" s="7" t="s">
        <v>165</v>
      </c>
    </row>
    <row r="9">
      <c r="A9" s="6"/>
    </row>
    <row r="10">
      <c r="A10" s="6" t="s">
        <v>14</v>
      </c>
    </row>
    <row r="11">
      <c r="A11" s="4"/>
    </row>
    <row r="12">
      <c r="A12" s="4" t="s">
        <v>15</v>
      </c>
    </row>
    <row r="13">
      <c r="A13" s="4"/>
    </row>
    <row r="14">
      <c r="A14" s="8" t="s">
        <v>16</v>
      </c>
      <c r="B14" s="8" t="s">
        <v>17</v>
      </c>
      <c r="C14" s="9" t="s">
        <v>18</v>
      </c>
      <c r="D14" s="8" t="s">
        <v>19</v>
      </c>
      <c r="E14" s="10" t="s">
        <v>20</v>
      </c>
    </row>
    <row r="15">
      <c r="A15" s="11" t="s">
        <v>21</v>
      </c>
      <c r="B15" s="11" t="s">
        <v>22</v>
      </c>
      <c r="C15" s="12">
        <f>C16</f>
        <v>10</v>
      </c>
      <c r="D15" s="13"/>
      <c r="E15" s="16"/>
    </row>
    <row r="16">
      <c r="A16" s="13" t="s">
        <v>23</v>
      </c>
      <c r="B16" s="13" t="s">
        <v>24</v>
      </c>
      <c r="C16" s="15">
        <v>10.0</v>
      </c>
      <c r="D16" s="13" t="s">
        <v>25</v>
      </c>
      <c r="E16" s="16"/>
    </row>
    <row r="17">
      <c r="A17" s="17" t="s">
        <v>27</v>
      </c>
      <c r="B17" s="17" t="s">
        <v>28</v>
      </c>
      <c r="C17" s="18">
        <f>SUM(C18:C27)</f>
        <v>60</v>
      </c>
      <c r="D17" s="19"/>
      <c r="E17" s="16"/>
    </row>
    <row r="18">
      <c r="A18" s="19" t="s">
        <v>29</v>
      </c>
      <c r="B18" s="19" t="s">
        <v>30</v>
      </c>
      <c r="C18" s="20">
        <v>5.0</v>
      </c>
      <c r="D18" s="19" t="s">
        <v>31</v>
      </c>
      <c r="E18" s="16"/>
    </row>
    <row r="19">
      <c r="A19" s="19" t="s">
        <v>32</v>
      </c>
      <c r="B19" s="19" t="s">
        <v>33</v>
      </c>
      <c r="C19" s="20">
        <v>5.0</v>
      </c>
      <c r="D19" s="19" t="s">
        <v>34</v>
      </c>
      <c r="E19" s="16"/>
    </row>
    <row r="20">
      <c r="A20" s="19" t="s">
        <v>35</v>
      </c>
      <c r="B20" s="19" t="s">
        <v>36</v>
      </c>
      <c r="C20" s="20">
        <v>5.0</v>
      </c>
      <c r="D20" s="19" t="s">
        <v>37</v>
      </c>
      <c r="E20" s="16"/>
    </row>
    <row r="21" ht="15.75" customHeight="1">
      <c r="A21" s="19" t="s">
        <v>38</v>
      </c>
      <c r="B21" s="19" t="s">
        <v>39</v>
      </c>
      <c r="C21" s="20">
        <v>10.0</v>
      </c>
      <c r="D21" s="21" t="s">
        <v>40</v>
      </c>
      <c r="E21" s="22" t="s">
        <v>166</v>
      </c>
    </row>
    <row r="22" ht="15.75" customHeight="1">
      <c r="A22" s="19" t="s">
        <v>42</v>
      </c>
      <c r="B22" s="19" t="s">
        <v>43</v>
      </c>
      <c r="C22" s="20">
        <v>10.0</v>
      </c>
      <c r="D22" s="19" t="s">
        <v>44</v>
      </c>
      <c r="E22" s="16" t="s">
        <v>167</v>
      </c>
    </row>
    <row r="23" ht="15.75" customHeight="1">
      <c r="A23" s="19" t="s">
        <v>46</v>
      </c>
      <c r="B23" s="19" t="s">
        <v>47</v>
      </c>
      <c r="C23" s="20">
        <v>5.0</v>
      </c>
      <c r="D23" s="19" t="s">
        <v>48</v>
      </c>
      <c r="E23" s="16"/>
    </row>
    <row r="24" ht="15.75" customHeight="1">
      <c r="A24" s="19" t="s">
        <v>49</v>
      </c>
      <c r="B24" s="19" t="s">
        <v>50</v>
      </c>
      <c r="C24" s="20">
        <v>0.0</v>
      </c>
      <c r="D24" s="19" t="s">
        <v>51</v>
      </c>
      <c r="E24" s="22" t="s">
        <v>168</v>
      </c>
    </row>
    <row r="25" ht="15.75" customHeight="1">
      <c r="A25" s="19" t="s">
        <v>52</v>
      </c>
      <c r="B25" s="19" t="s">
        <v>53</v>
      </c>
      <c r="C25" s="20">
        <v>5.0</v>
      </c>
      <c r="D25" s="19" t="s">
        <v>54</v>
      </c>
      <c r="E25" s="16"/>
    </row>
    <row r="26" ht="15.75" customHeight="1">
      <c r="A26" s="19" t="s">
        <v>55</v>
      </c>
      <c r="B26" s="19" t="s">
        <v>56</v>
      </c>
      <c r="C26" s="20">
        <v>10.0</v>
      </c>
      <c r="D26" s="19" t="s">
        <v>57</v>
      </c>
      <c r="E26" s="16"/>
    </row>
    <row r="27" ht="15.75" customHeight="1">
      <c r="A27" s="19" t="s">
        <v>58</v>
      </c>
      <c r="B27" s="19" t="s">
        <v>59</v>
      </c>
      <c r="C27" s="20">
        <v>5.0</v>
      </c>
      <c r="D27" s="19" t="s">
        <v>60</v>
      </c>
      <c r="E27" s="16"/>
    </row>
    <row r="28" ht="15.75" customHeight="1">
      <c r="A28" s="23" t="s">
        <v>61</v>
      </c>
      <c r="B28" s="23" t="s">
        <v>62</v>
      </c>
      <c r="C28" s="24">
        <f>SUM(C29:C31)</f>
        <v>10</v>
      </c>
      <c r="D28" s="25"/>
      <c r="E28" s="16"/>
    </row>
    <row r="29" ht="15.75" customHeight="1">
      <c r="A29" s="25" t="s">
        <v>63</v>
      </c>
      <c r="B29" s="25" t="s">
        <v>64</v>
      </c>
      <c r="C29" s="26">
        <v>5.0</v>
      </c>
      <c r="D29" s="27" t="s">
        <v>65</v>
      </c>
      <c r="E29" s="22" t="s">
        <v>169</v>
      </c>
    </row>
    <row r="30" ht="54.0" customHeight="1">
      <c r="A30" s="25" t="s">
        <v>67</v>
      </c>
      <c r="B30" s="25" t="s">
        <v>68</v>
      </c>
      <c r="C30" s="26">
        <v>5.0</v>
      </c>
      <c r="D30" s="27" t="s">
        <v>69</v>
      </c>
      <c r="E30" s="22"/>
    </row>
    <row r="31" ht="15.75" customHeight="1">
      <c r="A31" s="25" t="s">
        <v>71</v>
      </c>
      <c r="B31" s="25" t="s">
        <v>72</v>
      </c>
      <c r="C31" s="26">
        <v>0.0</v>
      </c>
      <c r="D31" s="27" t="s">
        <v>73</v>
      </c>
      <c r="E31" s="22" t="s">
        <v>170</v>
      </c>
    </row>
    <row r="32" ht="15.75" customHeight="1">
      <c r="A32" s="29"/>
      <c r="B32" s="29" t="s">
        <v>75</v>
      </c>
      <c r="C32" s="30">
        <f>C28+C17+C15</f>
        <v>80</v>
      </c>
      <c r="D32" s="29"/>
      <c r="E32" s="16"/>
    </row>
    <row r="33" ht="4.5" customHeight="1">
      <c r="A33" s="4"/>
      <c r="E33" s="31"/>
    </row>
    <row r="34" ht="15.75" customHeight="1">
      <c r="A34" s="32" t="s">
        <v>76</v>
      </c>
      <c r="E34" s="31"/>
    </row>
    <row r="35" ht="15.75" customHeight="1">
      <c r="A35" s="33"/>
      <c r="E35" s="31"/>
    </row>
    <row r="36" ht="15.75" customHeight="1">
      <c r="A36" s="34" t="s">
        <v>77</v>
      </c>
      <c r="E36" s="31"/>
    </row>
    <row r="37" ht="15.75" customHeight="1">
      <c r="A37" s="4"/>
      <c r="E37" s="31"/>
    </row>
    <row r="38" ht="15.75" customHeight="1">
      <c r="A38" s="4" t="s">
        <v>15</v>
      </c>
      <c r="E38" s="31"/>
    </row>
    <row r="39" ht="15.75" customHeight="1">
      <c r="A39" s="4"/>
      <c r="E39" s="31"/>
    </row>
    <row r="40" ht="15.75" customHeight="1">
      <c r="A40" s="35" t="s">
        <v>16</v>
      </c>
      <c r="B40" s="35" t="s">
        <v>78</v>
      </c>
      <c r="C40" s="36" t="s">
        <v>18</v>
      </c>
      <c r="D40" s="35" t="s">
        <v>19</v>
      </c>
      <c r="E40" s="37" t="s">
        <v>20</v>
      </c>
    </row>
    <row r="41" ht="15.75" customHeight="1">
      <c r="A41" s="38" t="s">
        <v>21</v>
      </c>
      <c r="B41" s="39" t="s">
        <v>79</v>
      </c>
      <c r="C41" s="40">
        <f>C42+C43+C44</f>
        <v>25</v>
      </c>
      <c r="D41" s="41"/>
      <c r="E41" s="16"/>
    </row>
    <row r="42" ht="15.75" customHeight="1">
      <c r="A42" s="42" t="s">
        <v>23</v>
      </c>
      <c r="B42" s="42" t="s">
        <v>80</v>
      </c>
      <c r="C42" s="43">
        <v>15.0</v>
      </c>
      <c r="D42" s="41" t="s">
        <v>81</v>
      </c>
      <c r="E42" s="16"/>
    </row>
    <row r="43" ht="15.75" customHeight="1">
      <c r="A43" s="42" t="s">
        <v>83</v>
      </c>
      <c r="B43" s="42" t="s">
        <v>84</v>
      </c>
      <c r="C43" s="43">
        <v>10.0</v>
      </c>
      <c r="D43" s="41" t="s">
        <v>85</v>
      </c>
      <c r="E43" s="16"/>
    </row>
    <row r="44" ht="15.75" customHeight="1">
      <c r="A44" s="42" t="s">
        <v>87</v>
      </c>
      <c r="B44" s="42" t="s">
        <v>88</v>
      </c>
      <c r="C44" s="43">
        <v>0.0</v>
      </c>
      <c r="D44" s="41" t="s">
        <v>89</v>
      </c>
      <c r="E44" s="28" t="s">
        <v>153</v>
      </c>
    </row>
    <row r="45" ht="15.75" customHeight="1">
      <c r="A45" s="44" t="s">
        <v>27</v>
      </c>
      <c r="B45" s="45" t="s">
        <v>91</v>
      </c>
      <c r="C45" s="46">
        <f>C46+C47</f>
        <v>20</v>
      </c>
      <c r="D45" s="47"/>
      <c r="E45" s="22"/>
    </row>
    <row r="46" ht="15.75" customHeight="1">
      <c r="A46" s="47" t="s">
        <v>29</v>
      </c>
      <c r="B46" s="48" t="s">
        <v>92</v>
      </c>
      <c r="C46" s="49">
        <v>10.0</v>
      </c>
      <c r="D46" s="47" t="s">
        <v>93</v>
      </c>
      <c r="E46" s="22"/>
    </row>
    <row r="47" ht="15.75" customHeight="1">
      <c r="A47" s="47" t="s">
        <v>32</v>
      </c>
      <c r="B47" s="48" t="s">
        <v>94</v>
      </c>
      <c r="C47" s="49">
        <v>10.0</v>
      </c>
      <c r="D47" s="50" t="s">
        <v>95</v>
      </c>
      <c r="E47" s="22" t="s">
        <v>171</v>
      </c>
    </row>
    <row r="48" ht="15.75" customHeight="1">
      <c r="A48" s="51" t="s">
        <v>61</v>
      </c>
      <c r="B48" s="52" t="s">
        <v>97</v>
      </c>
      <c r="C48" s="53">
        <f>C49+C50+C51</f>
        <v>10</v>
      </c>
      <c r="D48" s="54"/>
      <c r="E48" s="22"/>
    </row>
    <row r="49" ht="15.75" customHeight="1">
      <c r="A49" s="54" t="s">
        <v>63</v>
      </c>
      <c r="B49" s="55" t="s">
        <v>98</v>
      </c>
      <c r="C49" s="56">
        <v>5.0</v>
      </c>
      <c r="D49" s="54" t="s">
        <v>99</v>
      </c>
      <c r="E49" s="22" t="s">
        <v>172</v>
      </c>
    </row>
    <row r="50" ht="15.75" customHeight="1">
      <c r="A50" s="54" t="s">
        <v>67</v>
      </c>
      <c r="B50" s="55" t="s">
        <v>100</v>
      </c>
      <c r="C50" s="56">
        <v>5.0</v>
      </c>
      <c r="D50" s="54" t="s">
        <v>101</v>
      </c>
      <c r="E50" s="22" t="s">
        <v>173</v>
      </c>
    </row>
    <row r="51" ht="15.75" customHeight="1">
      <c r="A51" s="54" t="s">
        <v>71</v>
      </c>
      <c r="B51" s="55" t="s">
        <v>102</v>
      </c>
      <c r="C51" s="56">
        <v>0.0</v>
      </c>
      <c r="D51" s="54" t="s">
        <v>103</v>
      </c>
      <c r="E51" s="22" t="s">
        <v>174</v>
      </c>
    </row>
    <row r="52" ht="15.75" customHeight="1">
      <c r="A52" s="57" t="s">
        <v>104</v>
      </c>
      <c r="B52" s="58" t="s">
        <v>105</v>
      </c>
      <c r="C52" s="59">
        <f>C53</f>
        <v>10</v>
      </c>
      <c r="D52" s="60"/>
      <c r="E52" s="16"/>
    </row>
    <row r="53" ht="15.75" customHeight="1">
      <c r="A53" s="60" t="s">
        <v>106</v>
      </c>
      <c r="B53" s="61" t="s">
        <v>107</v>
      </c>
      <c r="C53" s="62">
        <v>10.0</v>
      </c>
      <c r="D53" s="60" t="s">
        <v>108</v>
      </c>
      <c r="E53" s="16"/>
    </row>
    <row r="54" ht="15.75" customHeight="1">
      <c r="A54" s="29"/>
      <c r="B54" s="29" t="s">
        <v>109</v>
      </c>
      <c r="C54" s="63">
        <f>C52+C48+C45+C41</f>
        <v>65</v>
      </c>
      <c r="D54" s="29"/>
      <c r="E54" s="14"/>
    </row>
    <row r="55" ht="15.75" customHeight="1">
      <c r="A55" s="64"/>
    </row>
    <row r="56" ht="15.75" customHeight="1">
      <c r="A56" s="65" t="s">
        <v>110</v>
      </c>
      <c r="D56" s="66"/>
    </row>
    <row r="57" ht="15.75" customHeight="1">
      <c r="A57" s="65"/>
      <c r="D57" s="66"/>
    </row>
    <row r="58" ht="15.75" customHeight="1">
      <c r="A58" s="67" t="s">
        <v>111</v>
      </c>
      <c r="B58" s="68" t="s">
        <v>112</v>
      </c>
      <c r="C58" s="68"/>
      <c r="D58" s="68" t="s">
        <v>113</v>
      </c>
    </row>
    <row r="59" ht="15.75" customHeight="1">
      <c r="A59" s="69"/>
      <c r="B59" s="84" t="s">
        <v>175</v>
      </c>
      <c r="C59" s="14"/>
      <c r="D59" s="85" t="s">
        <v>176</v>
      </c>
    </row>
    <row r="60" ht="15.75" customHeight="1">
      <c r="A60" s="69"/>
      <c r="B60" s="84" t="s">
        <v>177</v>
      </c>
      <c r="C60" s="14"/>
      <c r="D60" s="85" t="s">
        <v>178</v>
      </c>
    </row>
    <row r="61" ht="15.75" customHeight="1">
      <c r="A61" s="69"/>
      <c r="B61" s="84" t="s">
        <v>179</v>
      </c>
      <c r="C61" s="14"/>
      <c r="D61" s="85" t="s">
        <v>180</v>
      </c>
    </row>
    <row r="62" ht="15.75" customHeight="1">
      <c r="A62" s="69"/>
      <c r="B62" s="14"/>
      <c r="C62" s="14"/>
      <c r="D62" s="70"/>
    </row>
    <row r="63" ht="15.75" customHeight="1">
      <c r="A63" s="69"/>
      <c r="B63" s="14"/>
      <c r="C63" s="14"/>
      <c r="D63" s="70"/>
    </row>
    <row r="64" ht="15.75" customHeight="1">
      <c r="A64" s="69"/>
      <c r="B64" s="14"/>
      <c r="C64" s="14"/>
      <c r="D64" s="70"/>
    </row>
    <row r="65" ht="15.75" customHeight="1">
      <c r="A65" s="69"/>
      <c r="B65" s="14"/>
      <c r="C65" s="14"/>
      <c r="D65" s="70"/>
    </row>
    <row r="66" ht="15.75" customHeight="1">
      <c r="A66" s="69"/>
      <c r="B66" s="14"/>
      <c r="C66" s="14"/>
      <c r="D66" s="70"/>
    </row>
    <row r="67" ht="15.75" customHeight="1">
      <c r="A67" s="69"/>
      <c r="B67" s="14"/>
      <c r="C67" s="14"/>
      <c r="D67" s="70"/>
    </row>
    <row r="68" ht="15.75" customHeight="1">
      <c r="A68" s="69"/>
      <c r="B68" s="14"/>
      <c r="C68" s="14"/>
      <c r="D68" s="70"/>
    </row>
    <row r="69" ht="15.75" customHeight="1">
      <c r="A69" s="65"/>
      <c r="D69" s="66"/>
    </row>
    <row r="70" ht="15.75" customHeight="1">
      <c r="A70" s="65"/>
      <c r="D70" s="66"/>
    </row>
    <row r="71" ht="15.75" customHeight="1">
      <c r="A71" s="65"/>
      <c r="D71" s="66"/>
    </row>
    <row r="72" ht="15.75" customHeight="1">
      <c r="A72" s="71" t="s">
        <v>124</v>
      </c>
      <c r="B72" s="72"/>
      <c r="C72" s="72"/>
      <c r="D72" s="73" t="str">
        <f>IF(AND(C32&gt;80,C54&gt;80),"Layak Klaim",IF(AND(C32&gt;=60,C32&lt;=80,C54&gt;80),"Perlu Koreksi",IF(AND(C32&gt;=60,C32&lt;=80,C54&gt;=60,C54&lt;=80),"Perlu Koreksi",IF(AND(C32&gt;80,C54&gt;=60,C54&lt;=80),"Perlu Koreksi","Tidak Layak"))))</f>
        <v>Perlu Koreksi</v>
      </c>
      <c r="E72" s="72"/>
      <c r="F72" s="72"/>
      <c r="G72" s="72"/>
      <c r="H72" s="72"/>
      <c r="I72" s="72"/>
      <c r="J72" s="72"/>
      <c r="K72" s="72"/>
      <c r="L72" s="72"/>
      <c r="M72" s="72"/>
      <c r="N72" s="72"/>
      <c r="O72" s="72"/>
      <c r="P72" s="72"/>
      <c r="Q72" s="72"/>
      <c r="R72" s="72"/>
      <c r="S72" s="72"/>
      <c r="T72" s="72"/>
      <c r="U72" s="72"/>
      <c r="V72" s="72"/>
      <c r="W72" s="72"/>
      <c r="X72" s="72"/>
      <c r="Y72" s="72"/>
      <c r="Z72" s="72"/>
    </row>
    <row r="73" ht="15.75" customHeight="1">
      <c r="A73" s="74"/>
    </row>
    <row r="74" ht="15.75" customHeight="1">
      <c r="A74" s="74" t="s">
        <v>125</v>
      </c>
    </row>
    <row r="75" ht="15.75" customHeight="1">
      <c r="B75" s="75" t="s">
        <v>126</v>
      </c>
      <c r="D75" s="76" t="s">
        <v>127</v>
      </c>
      <c r="E75" s="76" t="s">
        <v>128</v>
      </c>
      <c r="F75" s="75" t="s">
        <v>129</v>
      </c>
    </row>
    <row r="76" ht="15.75" customHeight="1">
      <c r="B76" s="77" t="s">
        <v>130</v>
      </c>
      <c r="D76" s="29" t="s">
        <v>131</v>
      </c>
      <c r="E76" s="29" t="s">
        <v>131</v>
      </c>
      <c r="F76" s="78" t="s">
        <v>132</v>
      </c>
    </row>
    <row r="77" ht="15.75" customHeight="1">
      <c r="B77" s="29" t="s">
        <v>133</v>
      </c>
      <c r="D77" s="29" t="s">
        <v>134</v>
      </c>
      <c r="E77" s="29" t="s">
        <v>134</v>
      </c>
      <c r="F77" s="78" t="s">
        <v>135</v>
      </c>
    </row>
    <row r="78" ht="15.75" customHeight="1">
      <c r="B78" s="29" t="s">
        <v>136</v>
      </c>
      <c r="D78" s="29" t="s">
        <v>137</v>
      </c>
      <c r="E78" s="29" t="s">
        <v>137</v>
      </c>
      <c r="F78" s="78" t="s">
        <v>138</v>
      </c>
    </row>
    <row r="79" ht="15.75" customHeight="1">
      <c r="A79" s="4"/>
    </row>
    <row r="80" ht="15.75" customHeight="1">
      <c r="A80" s="79" t="s">
        <v>139</v>
      </c>
    </row>
    <row r="81" ht="15.75" customHeight="1">
      <c r="A81" s="4" t="s">
        <v>140</v>
      </c>
    </row>
    <row r="82" ht="15.75" customHeight="1">
      <c r="A82" s="4" t="s">
        <v>141</v>
      </c>
    </row>
    <row r="83" ht="15.75" customHeight="1">
      <c r="A83" s="4" t="s">
        <v>142</v>
      </c>
    </row>
    <row r="84" ht="15.75" customHeight="1">
      <c r="A84" s="4" t="s">
        <v>143</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2" t="s">
        <v>4</v>
      </c>
      <c r="B1" s="3"/>
      <c r="C1" s="3"/>
      <c r="D1" s="3"/>
      <c r="E1" s="3"/>
    </row>
    <row r="2">
      <c r="A2" s="4"/>
      <c r="E2" s="80"/>
    </row>
    <row r="3">
      <c r="A3" s="5" t="s">
        <v>181</v>
      </c>
      <c r="B3" s="3"/>
      <c r="C3" s="3"/>
      <c r="D3" s="3"/>
      <c r="E3" s="3"/>
    </row>
    <row r="4">
      <c r="A4" s="6"/>
      <c r="E4" s="80"/>
    </row>
    <row r="5">
      <c r="A5" s="6" t="s">
        <v>6</v>
      </c>
      <c r="C5" s="7" t="s">
        <v>182</v>
      </c>
      <c r="E5" s="80"/>
    </row>
    <row r="6">
      <c r="A6" s="6" t="s">
        <v>8</v>
      </c>
      <c r="C6" s="7" t="s">
        <v>183</v>
      </c>
      <c r="E6" s="80"/>
    </row>
    <row r="7">
      <c r="A7" s="6" t="s">
        <v>10</v>
      </c>
      <c r="C7" s="7" t="s">
        <v>184</v>
      </c>
      <c r="E7" s="80"/>
    </row>
    <row r="8">
      <c r="A8" s="6" t="s">
        <v>12</v>
      </c>
      <c r="C8" s="7" t="s">
        <v>185</v>
      </c>
      <c r="E8" s="80"/>
    </row>
    <row r="9">
      <c r="A9" s="6"/>
      <c r="E9" s="80"/>
    </row>
    <row r="10">
      <c r="A10" s="6" t="s">
        <v>14</v>
      </c>
      <c r="E10" s="80"/>
    </row>
    <row r="11">
      <c r="A11" s="4"/>
      <c r="E11" s="80"/>
    </row>
    <row r="12">
      <c r="A12" s="4" t="s">
        <v>15</v>
      </c>
      <c r="E12" s="80"/>
    </row>
    <row r="13">
      <c r="A13" s="4"/>
      <c r="E13" s="80"/>
    </row>
    <row r="14">
      <c r="A14" s="8" t="s">
        <v>16</v>
      </c>
      <c r="B14" s="8" t="s">
        <v>17</v>
      </c>
      <c r="C14" s="9" t="s">
        <v>18</v>
      </c>
      <c r="D14" s="8" t="s">
        <v>19</v>
      </c>
      <c r="E14" s="82" t="s">
        <v>20</v>
      </c>
    </row>
    <row r="15">
      <c r="A15" s="11" t="s">
        <v>21</v>
      </c>
      <c r="B15" s="11" t="s">
        <v>22</v>
      </c>
      <c r="C15" s="12">
        <f>C16</f>
        <v>10</v>
      </c>
      <c r="D15" s="13"/>
      <c r="E15" s="83"/>
    </row>
    <row r="16">
      <c r="A16" s="13" t="s">
        <v>23</v>
      </c>
      <c r="B16" s="13" t="s">
        <v>24</v>
      </c>
      <c r="C16" s="15">
        <v>10.0</v>
      </c>
      <c r="D16" s="13" t="s">
        <v>25</v>
      </c>
      <c r="E16" s="16" t="s">
        <v>186</v>
      </c>
    </row>
    <row r="17">
      <c r="A17" s="17" t="s">
        <v>27</v>
      </c>
      <c r="B17" s="17" t="s">
        <v>28</v>
      </c>
      <c r="C17" s="18">
        <f>SUM(C18:C27)</f>
        <v>65</v>
      </c>
      <c r="D17" s="19"/>
      <c r="E17" s="83"/>
    </row>
    <row r="18">
      <c r="A18" s="19" t="s">
        <v>29</v>
      </c>
      <c r="B18" s="19" t="s">
        <v>30</v>
      </c>
      <c r="C18" s="20">
        <v>5.0</v>
      </c>
      <c r="D18" s="19" t="s">
        <v>31</v>
      </c>
      <c r="E18" s="83"/>
    </row>
    <row r="19">
      <c r="A19" s="19" t="s">
        <v>32</v>
      </c>
      <c r="B19" s="19" t="s">
        <v>33</v>
      </c>
      <c r="C19" s="20">
        <v>5.0</v>
      </c>
      <c r="D19" s="19" t="s">
        <v>34</v>
      </c>
      <c r="E19" s="83"/>
    </row>
    <row r="20">
      <c r="A20" s="19" t="s">
        <v>35</v>
      </c>
      <c r="B20" s="19" t="s">
        <v>36</v>
      </c>
      <c r="C20" s="20">
        <v>5.0</v>
      </c>
      <c r="D20" s="19" t="s">
        <v>37</v>
      </c>
      <c r="E20" s="83"/>
    </row>
    <row r="21" ht="15.75" customHeight="1">
      <c r="A21" s="19" t="s">
        <v>38</v>
      </c>
      <c r="B21" s="19" t="s">
        <v>39</v>
      </c>
      <c r="C21" s="20">
        <v>10.0</v>
      </c>
      <c r="D21" s="21" t="s">
        <v>40</v>
      </c>
      <c r="E21" s="16" t="s">
        <v>187</v>
      </c>
    </row>
    <row r="22" ht="15.75" customHeight="1">
      <c r="A22" s="19" t="s">
        <v>42</v>
      </c>
      <c r="B22" s="19" t="s">
        <v>43</v>
      </c>
      <c r="C22" s="20">
        <v>10.0</v>
      </c>
      <c r="D22" s="19" t="s">
        <v>44</v>
      </c>
      <c r="E22" s="83"/>
    </row>
    <row r="23" ht="15.75" customHeight="1">
      <c r="A23" s="19" t="s">
        <v>46</v>
      </c>
      <c r="B23" s="19" t="s">
        <v>47</v>
      </c>
      <c r="C23" s="20">
        <v>5.0</v>
      </c>
      <c r="D23" s="19" t="s">
        <v>48</v>
      </c>
      <c r="E23" s="83"/>
    </row>
    <row r="24" ht="15.75" customHeight="1">
      <c r="A24" s="19" t="s">
        <v>49</v>
      </c>
      <c r="B24" s="19" t="s">
        <v>50</v>
      </c>
      <c r="C24" s="20">
        <v>5.0</v>
      </c>
      <c r="D24" s="19" t="s">
        <v>51</v>
      </c>
      <c r="E24" s="83"/>
    </row>
    <row r="25" ht="15.75" customHeight="1">
      <c r="A25" s="19" t="s">
        <v>52</v>
      </c>
      <c r="B25" s="19" t="s">
        <v>53</v>
      </c>
      <c r="C25" s="20">
        <v>5.0</v>
      </c>
      <c r="D25" s="19" t="s">
        <v>54</v>
      </c>
      <c r="E25" s="83"/>
    </row>
    <row r="26" ht="15.75" customHeight="1">
      <c r="A26" s="19" t="s">
        <v>55</v>
      </c>
      <c r="B26" s="19" t="s">
        <v>56</v>
      </c>
      <c r="C26" s="20">
        <v>10.0</v>
      </c>
      <c r="D26" s="19" t="s">
        <v>57</v>
      </c>
      <c r="E26" s="83"/>
    </row>
    <row r="27" ht="15.75" customHeight="1">
      <c r="A27" s="19" t="s">
        <v>58</v>
      </c>
      <c r="B27" s="19" t="s">
        <v>59</v>
      </c>
      <c r="C27" s="20">
        <v>5.0</v>
      </c>
      <c r="D27" s="19" t="s">
        <v>60</v>
      </c>
      <c r="E27" s="83"/>
    </row>
    <row r="28" ht="15.75" customHeight="1">
      <c r="A28" s="23" t="s">
        <v>61</v>
      </c>
      <c r="B28" s="23" t="s">
        <v>62</v>
      </c>
      <c r="C28" s="24">
        <f>SUM(C29:C31)</f>
        <v>5</v>
      </c>
      <c r="D28" s="25"/>
      <c r="E28" s="83"/>
    </row>
    <row r="29" ht="15.75" customHeight="1">
      <c r="A29" s="25" t="s">
        <v>63</v>
      </c>
      <c r="B29" s="25" t="s">
        <v>64</v>
      </c>
      <c r="C29" s="26">
        <v>0.0</v>
      </c>
      <c r="D29" s="27" t="s">
        <v>65</v>
      </c>
      <c r="E29" s="16" t="s">
        <v>188</v>
      </c>
    </row>
    <row r="30" ht="54.0" customHeight="1">
      <c r="A30" s="25" t="s">
        <v>67</v>
      </c>
      <c r="B30" s="25" t="s">
        <v>68</v>
      </c>
      <c r="C30" s="26">
        <v>5.0</v>
      </c>
      <c r="D30" s="27" t="s">
        <v>69</v>
      </c>
      <c r="E30" s="83"/>
    </row>
    <row r="31" ht="15.75" customHeight="1">
      <c r="A31" s="25" t="s">
        <v>71</v>
      </c>
      <c r="B31" s="25" t="s">
        <v>72</v>
      </c>
      <c r="C31" s="26">
        <v>0.0</v>
      </c>
      <c r="D31" s="27" t="s">
        <v>73</v>
      </c>
      <c r="E31" s="16" t="s">
        <v>188</v>
      </c>
    </row>
    <row r="32" ht="15.75" customHeight="1">
      <c r="A32" s="29"/>
      <c r="B32" s="29" t="s">
        <v>75</v>
      </c>
      <c r="C32" s="30">
        <f>C28+C17+C15</f>
        <v>80</v>
      </c>
      <c r="D32" s="29"/>
      <c r="E32" s="83"/>
    </row>
    <row r="33" ht="4.5" customHeight="1">
      <c r="A33" s="4"/>
      <c r="E33" s="80"/>
    </row>
    <row r="34" ht="15.75" customHeight="1">
      <c r="A34" s="32" t="s">
        <v>76</v>
      </c>
      <c r="E34" s="80"/>
    </row>
    <row r="35" ht="15.75" customHeight="1">
      <c r="A35" s="33"/>
      <c r="E35" s="80"/>
    </row>
    <row r="36" ht="15.75" customHeight="1">
      <c r="A36" s="34" t="s">
        <v>77</v>
      </c>
      <c r="E36" s="80"/>
    </row>
    <row r="37" ht="15.75" customHeight="1">
      <c r="A37" s="4"/>
      <c r="E37" s="80"/>
    </row>
    <row r="38" ht="15.75" customHeight="1">
      <c r="A38" s="4" t="s">
        <v>15</v>
      </c>
      <c r="E38" s="80"/>
    </row>
    <row r="39" ht="15.75" customHeight="1">
      <c r="A39" s="4"/>
      <c r="E39" s="80"/>
    </row>
    <row r="40" ht="15.75" customHeight="1">
      <c r="A40" s="35" t="s">
        <v>16</v>
      </c>
      <c r="B40" s="35" t="s">
        <v>78</v>
      </c>
      <c r="C40" s="36" t="s">
        <v>18</v>
      </c>
      <c r="D40" s="35" t="s">
        <v>19</v>
      </c>
      <c r="E40" s="82" t="s">
        <v>20</v>
      </c>
    </row>
    <row r="41" ht="15.75" customHeight="1">
      <c r="A41" s="38" t="s">
        <v>21</v>
      </c>
      <c r="B41" s="39" t="s">
        <v>79</v>
      </c>
      <c r="C41" s="40">
        <f>C42+C43+C44</f>
        <v>20</v>
      </c>
      <c r="D41" s="41"/>
      <c r="E41" s="83"/>
    </row>
    <row r="42" ht="15.75" customHeight="1">
      <c r="A42" s="42" t="s">
        <v>23</v>
      </c>
      <c r="B42" s="42" t="s">
        <v>80</v>
      </c>
      <c r="C42" s="43">
        <v>10.0</v>
      </c>
      <c r="D42" s="41" t="s">
        <v>81</v>
      </c>
      <c r="E42" s="16" t="s">
        <v>189</v>
      </c>
    </row>
    <row r="43" ht="15.75" customHeight="1">
      <c r="A43" s="42" t="s">
        <v>83</v>
      </c>
      <c r="B43" s="42" t="s">
        <v>84</v>
      </c>
      <c r="C43" s="43">
        <v>5.0</v>
      </c>
      <c r="D43" s="41" t="s">
        <v>85</v>
      </c>
      <c r="E43" s="16" t="s">
        <v>190</v>
      </c>
    </row>
    <row r="44" ht="15.75" customHeight="1">
      <c r="A44" s="42" t="s">
        <v>87</v>
      </c>
      <c r="B44" s="42" t="s">
        <v>88</v>
      </c>
      <c r="C44" s="43">
        <v>5.0</v>
      </c>
      <c r="D44" s="41" t="s">
        <v>89</v>
      </c>
      <c r="E44" s="83"/>
    </row>
    <row r="45" ht="15.75" customHeight="1">
      <c r="A45" s="44" t="s">
        <v>27</v>
      </c>
      <c r="B45" s="45" t="s">
        <v>91</v>
      </c>
      <c r="C45" s="46">
        <f>C46+C47</f>
        <v>15</v>
      </c>
      <c r="D45" s="47"/>
      <c r="E45" s="83"/>
    </row>
    <row r="46" ht="15.75" customHeight="1">
      <c r="A46" s="47" t="s">
        <v>29</v>
      </c>
      <c r="B46" s="48" t="s">
        <v>92</v>
      </c>
      <c r="C46" s="49">
        <v>5.0</v>
      </c>
      <c r="D46" s="47" t="s">
        <v>93</v>
      </c>
      <c r="E46" s="83"/>
    </row>
    <row r="47" ht="15.75" customHeight="1">
      <c r="A47" s="47" t="s">
        <v>32</v>
      </c>
      <c r="B47" s="48" t="s">
        <v>94</v>
      </c>
      <c r="C47" s="49">
        <v>10.0</v>
      </c>
      <c r="D47" s="50" t="s">
        <v>95</v>
      </c>
      <c r="E47" s="16" t="s">
        <v>191</v>
      </c>
    </row>
    <row r="48" ht="15.75" customHeight="1">
      <c r="A48" s="51" t="s">
        <v>61</v>
      </c>
      <c r="B48" s="52" t="s">
        <v>97</v>
      </c>
      <c r="C48" s="53">
        <f>C49+C50+C51</f>
        <v>15</v>
      </c>
      <c r="D48" s="54"/>
      <c r="E48" s="83"/>
    </row>
    <row r="49" ht="15.75" customHeight="1">
      <c r="A49" s="54" t="s">
        <v>63</v>
      </c>
      <c r="B49" s="55" t="s">
        <v>98</v>
      </c>
      <c r="C49" s="56">
        <v>5.0</v>
      </c>
      <c r="D49" s="54" t="s">
        <v>99</v>
      </c>
      <c r="E49" s="83"/>
    </row>
    <row r="50" ht="15.75" customHeight="1">
      <c r="A50" s="54" t="s">
        <v>67</v>
      </c>
      <c r="B50" s="55" t="s">
        <v>100</v>
      </c>
      <c r="C50" s="56">
        <v>5.0</v>
      </c>
      <c r="D50" s="54" t="s">
        <v>101</v>
      </c>
      <c r="E50" s="83"/>
    </row>
    <row r="51" ht="15.75" customHeight="1">
      <c r="A51" s="54" t="s">
        <v>71</v>
      </c>
      <c r="B51" s="55" t="s">
        <v>102</v>
      </c>
      <c r="C51" s="56">
        <v>5.0</v>
      </c>
      <c r="D51" s="54" t="s">
        <v>103</v>
      </c>
      <c r="E51" s="83"/>
    </row>
    <row r="52" ht="15.75" customHeight="1">
      <c r="A52" s="57" t="s">
        <v>104</v>
      </c>
      <c r="B52" s="58" t="s">
        <v>105</v>
      </c>
      <c r="C52" s="59">
        <f>C53</f>
        <v>15</v>
      </c>
      <c r="D52" s="60"/>
      <c r="E52" s="83"/>
    </row>
    <row r="53" ht="15.75" customHeight="1">
      <c r="A53" s="60" t="s">
        <v>106</v>
      </c>
      <c r="B53" s="61" t="s">
        <v>107</v>
      </c>
      <c r="C53" s="62">
        <v>15.0</v>
      </c>
      <c r="D53" s="60" t="s">
        <v>108</v>
      </c>
      <c r="E53" s="83"/>
    </row>
    <row r="54" ht="15.75" customHeight="1">
      <c r="A54" s="29"/>
      <c r="B54" s="29" t="s">
        <v>109</v>
      </c>
      <c r="C54" s="63">
        <f>C52+C48+C45+C41</f>
        <v>65</v>
      </c>
      <c r="D54" s="29"/>
      <c r="E54" s="83"/>
    </row>
    <row r="55" ht="15.75" customHeight="1">
      <c r="A55" s="64"/>
      <c r="E55" s="80"/>
    </row>
    <row r="56" ht="15.75" customHeight="1">
      <c r="A56" s="65" t="s">
        <v>110</v>
      </c>
      <c r="D56" s="66"/>
      <c r="E56" s="80"/>
    </row>
    <row r="57" ht="15.75" customHeight="1">
      <c r="A57" s="65"/>
      <c r="D57" s="66"/>
      <c r="E57" s="80"/>
    </row>
    <row r="58" ht="15.75" customHeight="1">
      <c r="A58" s="67" t="s">
        <v>111</v>
      </c>
      <c r="B58" s="68" t="s">
        <v>112</v>
      </c>
      <c r="C58" s="68"/>
      <c r="D58" s="68" t="s">
        <v>113</v>
      </c>
      <c r="E58" s="80"/>
    </row>
    <row r="59" ht="15.75" customHeight="1">
      <c r="A59" s="69"/>
      <c r="B59" s="14" t="s">
        <v>192</v>
      </c>
      <c r="C59" s="14"/>
      <c r="D59" s="70" t="s">
        <v>193</v>
      </c>
      <c r="E59" s="80"/>
    </row>
    <row r="60" ht="15.75" customHeight="1">
      <c r="A60" s="69"/>
      <c r="B60" s="14" t="s">
        <v>194</v>
      </c>
      <c r="C60" s="14"/>
      <c r="D60" s="70" t="s">
        <v>195</v>
      </c>
      <c r="E60" s="80"/>
    </row>
    <row r="61" ht="15.75" customHeight="1">
      <c r="A61" s="69"/>
      <c r="B61" s="14" t="s">
        <v>196</v>
      </c>
      <c r="C61" s="14"/>
      <c r="D61" s="70" t="s">
        <v>197</v>
      </c>
      <c r="E61" s="80"/>
    </row>
    <row r="62" ht="15.75" customHeight="1">
      <c r="A62" s="69"/>
      <c r="B62" s="14" t="s">
        <v>198</v>
      </c>
      <c r="C62" s="14"/>
      <c r="D62" s="70" t="s">
        <v>199</v>
      </c>
      <c r="E62" s="80"/>
    </row>
    <row r="63" ht="15.75" customHeight="1">
      <c r="A63" s="69"/>
      <c r="B63" s="14"/>
      <c r="C63" s="14"/>
      <c r="D63" s="70"/>
      <c r="E63" s="80"/>
    </row>
    <row r="64" ht="15.75" customHeight="1">
      <c r="A64" s="69"/>
      <c r="B64" s="14"/>
      <c r="C64" s="14"/>
      <c r="D64" s="70"/>
      <c r="E64" s="80"/>
    </row>
    <row r="65" ht="15.75" customHeight="1">
      <c r="A65" s="69"/>
      <c r="B65" s="14"/>
      <c r="C65" s="14"/>
      <c r="D65" s="70"/>
      <c r="E65" s="80"/>
    </row>
    <row r="66" ht="15.75" customHeight="1">
      <c r="A66" s="69"/>
      <c r="B66" s="14"/>
      <c r="C66" s="14"/>
      <c r="D66" s="70"/>
      <c r="E66" s="80"/>
    </row>
    <row r="67" ht="15.75" customHeight="1">
      <c r="A67" s="69"/>
      <c r="B67" s="14"/>
      <c r="C67" s="14"/>
      <c r="D67" s="70"/>
      <c r="E67" s="80"/>
    </row>
    <row r="68" ht="15.75" customHeight="1">
      <c r="A68" s="69"/>
      <c r="B68" s="14"/>
      <c r="C68" s="14"/>
      <c r="D68" s="70"/>
      <c r="E68" s="80"/>
    </row>
    <row r="69" ht="15.75" customHeight="1">
      <c r="A69" s="65"/>
      <c r="D69" s="66"/>
      <c r="E69" s="80"/>
    </row>
    <row r="70" ht="15.75" customHeight="1">
      <c r="A70" s="65"/>
      <c r="D70" s="66"/>
      <c r="E70" s="80"/>
    </row>
    <row r="71" ht="15.75" customHeight="1">
      <c r="A71" s="65"/>
      <c r="D71" s="66"/>
      <c r="E71" s="80"/>
    </row>
    <row r="72" ht="15.75" customHeight="1">
      <c r="A72" s="71" t="s">
        <v>124</v>
      </c>
      <c r="B72" s="72"/>
      <c r="C72" s="72"/>
      <c r="D72" s="73" t="str">
        <f>IF(AND(C32&gt;80,C54&gt;80),"Layak Klaim",IF(AND(C32&gt;=60,C32&lt;=80,C54&gt;80),"Perlu Koreksi",IF(AND(C32&gt;=60,C32&lt;=80,C54&gt;=60,C54&lt;=80),"Perlu Koreksi",IF(AND(C32&gt;80,C54&gt;=60,C54&lt;=80),"Perlu Koreksi","Tidak Layak"))))</f>
        <v>Perlu Koreksi</v>
      </c>
      <c r="E72" s="86"/>
      <c r="F72" s="72"/>
      <c r="G72" s="72"/>
      <c r="H72" s="72"/>
      <c r="I72" s="72"/>
      <c r="J72" s="72"/>
      <c r="K72" s="72"/>
      <c r="L72" s="72"/>
      <c r="M72" s="72"/>
      <c r="N72" s="72"/>
      <c r="O72" s="72"/>
      <c r="P72" s="72"/>
      <c r="Q72" s="72"/>
      <c r="R72" s="72"/>
      <c r="S72" s="72"/>
      <c r="T72" s="72"/>
      <c r="U72" s="72"/>
      <c r="V72" s="72"/>
      <c r="W72" s="72"/>
      <c r="X72" s="72"/>
      <c r="Y72" s="72"/>
      <c r="Z72" s="72"/>
    </row>
    <row r="73" ht="15.75" customHeight="1">
      <c r="A73" s="74"/>
      <c r="E73" s="80"/>
    </row>
    <row r="74" ht="15.75" customHeight="1">
      <c r="A74" s="74" t="s">
        <v>125</v>
      </c>
      <c r="E74" s="80"/>
    </row>
    <row r="75" ht="15.75" customHeight="1">
      <c r="B75" s="75" t="s">
        <v>126</v>
      </c>
      <c r="D75" s="76" t="s">
        <v>127</v>
      </c>
      <c r="E75" s="76" t="s">
        <v>128</v>
      </c>
      <c r="F75" s="75" t="s">
        <v>129</v>
      </c>
    </row>
    <row r="76" ht="15.75" customHeight="1">
      <c r="B76" s="77" t="s">
        <v>130</v>
      </c>
      <c r="D76" s="29" t="s">
        <v>131</v>
      </c>
      <c r="E76" s="78" t="s">
        <v>131</v>
      </c>
      <c r="F76" s="78" t="s">
        <v>132</v>
      </c>
    </row>
    <row r="77" ht="15.75" customHeight="1">
      <c r="B77" s="29" t="s">
        <v>133</v>
      </c>
      <c r="D77" s="29" t="s">
        <v>134</v>
      </c>
      <c r="E77" s="78" t="s">
        <v>134</v>
      </c>
      <c r="F77" s="78" t="s">
        <v>135</v>
      </c>
    </row>
    <row r="78" ht="15.75" customHeight="1">
      <c r="B78" s="29" t="s">
        <v>136</v>
      </c>
      <c r="D78" s="29" t="s">
        <v>137</v>
      </c>
      <c r="E78" s="78" t="s">
        <v>137</v>
      </c>
      <c r="F78" s="78" t="s">
        <v>138</v>
      </c>
    </row>
    <row r="79" ht="15.75" customHeight="1">
      <c r="A79" s="4"/>
      <c r="E79" s="80"/>
    </row>
    <row r="80" ht="15.75" customHeight="1">
      <c r="A80" s="79" t="s">
        <v>139</v>
      </c>
      <c r="E80" s="80"/>
    </row>
    <row r="81" ht="15.75" customHeight="1">
      <c r="A81" s="4" t="s">
        <v>140</v>
      </c>
      <c r="E81" s="80"/>
    </row>
    <row r="82" ht="15.75" customHeight="1">
      <c r="A82" s="4" t="s">
        <v>141</v>
      </c>
      <c r="E82" s="80"/>
    </row>
    <row r="83" ht="15.75" customHeight="1">
      <c r="A83" s="4" t="s">
        <v>142</v>
      </c>
      <c r="E83" s="80"/>
    </row>
    <row r="84" ht="15.75" customHeight="1">
      <c r="A84" s="4" t="s">
        <v>143</v>
      </c>
      <c r="E84" s="80"/>
    </row>
    <row r="85" ht="15.75" customHeight="1">
      <c r="E85" s="80"/>
    </row>
    <row r="86" ht="15.75" customHeight="1">
      <c r="E86" s="80"/>
    </row>
    <row r="87" ht="15.75" customHeight="1">
      <c r="E87" s="80"/>
    </row>
    <row r="88" ht="15.75" customHeight="1">
      <c r="E88" s="80"/>
    </row>
    <row r="89" ht="15.75" customHeight="1">
      <c r="E89" s="80"/>
    </row>
    <row r="90" ht="15.75" customHeight="1">
      <c r="E90" s="80"/>
    </row>
    <row r="91" ht="15.75" customHeight="1">
      <c r="E91" s="80"/>
    </row>
    <row r="92" ht="15.75" customHeight="1">
      <c r="E92" s="80"/>
    </row>
    <row r="93" ht="15.75" customHeight="1">
      <c r="E93" s="80"/>
    </row>
    <row r="94" ht="15.75" customHeight="1">
      <c r="E94" s="80"/>
    </row>
    <row r="95" ht="15.75" customHeight="1">
      <c r="E95" s="80"/>
    </row>
    <row r="96" ht="15.75" customHeight="1">
      <c r="E96" s="80"/>
    </row>
    <row r="97" ht="15.75" customHeight="1">
      <c r="E97" s="80"/>
    </row>
    <row r="98" ht="15.75" customHeight="1">
      <c r="E98" s="80"/>
    </row>
    <row r="99" ht="15.75" customHeight="1">
      <c r="E99" s="80"/>
    </row>
    <row r="100" ht="15.75" customHeight="1">
      <c r="E100" s="80"/>
    </row>
    <row r="101" ht="15.75" customHeight="1">
      <c r="E101" s="80"/>
    </row>
    <row r="102" ht="15.75" customHeight="1">
      <c r="E102" s="80"/>
    </row>
    <row r="103" ht="15.75" customHeight="1">
      <c r="E103" s="80"/>
    </row>
    <row r="104" ht="15.75" customHeight="1">
      <c r="E104" s="80"/>
    </row>
    <row r="105" ht="15.75" customHeight="1">
      <c r="E105" s="80"/>
    </row>
    <row r="106" ht="15.75" customHeight="1">
      <c r="E106" s="80"/>
    </row>
    <row r="107" ht="15.75" customHeight="1">
      <c r="E107" s="80"/>
    </row>
    <row r="108" ht="15.75" customHeight="1">
      <c r="E108" s="80"/>
    </row>
    <row r="109" ht="15.75" customHeight="1">
      <c r="E109" s="80"/>
    </row>
    <row r="110" ht="15.75" customHeight="1">
      <c r="E110" s="80"/>
    </row>
    <row r="111" ht="15.75" customHeight="1">
      <c r="E111" s="80"/>
    </row>
    <row r="112" ht="15.75" customHeight="1">
      <c r="E112" s="80"/>
    </row>
    <row r="113" ht="15.75" customHeight="1">
      <c r="E113" s="80"/>
    </row>
    <row r="114" ht="15.75" customHeight="1">
      <c r="E114" s="80"/>
    </row>
    <row r="115" ht="15.75" customHeight="1">
      <c r="E115" s="80"/>
    </row>
    <row r="116" ht="15.75" customHeight="1">
      <c r="E116" s="80"/>
    </row>
    <row r="117" ht="15.75" customHeight="1">
      <c r="E117" s="80"/>
    </row>
    <row r="118" ht="15.75" customHeight="1">
      <c r="E118" s="80"/>
    </row>
    <row r="119" ht="15.75" customHeight="1">
      <c r="E119" s="80"/>
    </row>
    <row r="120" ht="15.75" customHeight="1">
      <c r="E120" s="80"/>
    </row>
    <row r="121" ht="15.75" customHeight="1">
      <c r="E121" s="80"/>
    </row>
    <row r="122" ht="15.75" customHeight="1">
      <c r="E122" s="80"/>
    </row>
    <row r="123" ht="15.75" customHeight="1">
      <c r="E123" s="80"/>
    </row>
    <row r="124" ht="15.75" customHeight="1">
      <c r="E124" s="80"/>
    </row>
    <row r="125" ht="15.75" customHeight="1">
      <c r="E125" s="80"/>
    </row>
    <row r="126" ht="15.75" customHeight="1">
      <c r="E126" s="80"/>
    </row>
    <row r="127" ht="15.75" customHeight="1">
      <c r="E127" s="80"/>
    </row>
    <row r="128" ht="15.75" customHeight="1">
      <c r="E128" s="80"/>
    </row>
    <row r="129" ht="15.75" customHeight="1">
      <c r="E129" s="80"/>
    </row>
    <row r="130" ht="15.75" customHeight="1">
      <c r="E130" s="80"/>
    </row>
    <row r="131" ht="15.75" customHeight="1">
      <c r="E131" s="80"/>
    </row>
    <row r="132" ht="15.75" customHeight="1">
      <c r="E132" s="80"/>
    </row>
    <row r="133" ht="15.75" customHeight="1">
      <c r="E133" s="80"/>
    </row>
    <row r="134" ht="15.75" customHeight="1">
      <c r="E134" s="80"/>
    </row>
    <row r="135" ht="15.75" customHeight="1">
      <c r="E135" s="80"/>
    </row>
    <row r="136" ht="15.75" customHeight="1">
      <c r="E136" s="80"/>
    </row>
    <row r="137" ht="15.75" customHeight="1">
      <c r="E137" s="80"/>
    </row>
    <row r="138" ht="15.75" customHeight="1">
      <c r="E138" s="80"/>
    </row>
    <row r="139" ht="15.75" customHeight="1">
      <c r="E139" s="80"/>
    </row>
    <row r="140" ht="15.75" customHeight="1">
      <c r="E140" s="80"/>
    </row>
    <row r="141" ht="15.75" customHeight="1">
      <c r="E141" s="80"/>
    </row>
    <row r="142" ht="15.75" customHeight="1">
      <c r="E142" s="80"/>
    </row>
    <row r="143" ht="15.75" customHeight="1">
      <c r="E143" s="80"/>
    </row>
    <row r="144" ht="15.75" customHeight="1">
      <c r="E144" s="80"/>
    </row>
    <row r="145" ht="15.75" customHeight="1">
      <c r="E145" s="80"/>
    </row>
    <row r="146" ht="15.75" customHeight="1">
      <c r="E146" s="80"/>
    </row>
    <row r="147" ht="15.75" customHeight="1">
      <c r="E147" s="80"/>
    </row>
    <row r="148" ht="15.75" customHeight="1">
      <c r="E148" s="80"/>
    </row>
    <row r="149" ht="15.75" customHeight="1">
      <c r="E149" s="80"/>
    </row>
    <row r="150" ht="15.75" customHeight="1">
      <c r="E150" s="80"/>
    </row>
    <row r="151" ht="15.75" customHeight="1">
      <c r="E151" s="80"/>
    </row>
    <row r="152" ht="15.75" customHeight="1">
      <c r="E152" s="80"/>
    </row>
    <row r="153" ht="15.75" customHeight="1">
      <c r="E153" s="80"/>
    </row>
    <row r="154" ht="15.75" customHeight="1">
      <c r="E154" s="80"/>
    </row>
    <row r="155" ht="15.75" customHeight="1">
      <c r="E155" s="80"/>
    </row>
    <row r="156" ht="15.75" customHeight="1">
      <c r="E156" s="80"/>
    </row>
    <row r="157" ht="15.75" customHeight="1">
      <c r="E157" s="80"/>
    </row>
    <row r="158" ht="15.75" customHeight="1">
      <c r="E158" s="80"/>
    </row>
    <row r="159" ht="15.75" customHeight="1">
      <c r="E159" s="80"/>
    </row>
    <row r="160" ht="15.75" customHeight="1">
      <c r="E160" s="80"/>
    </row>
    <row r="161" ht="15.75" customHeight="1">
      <c r="E161" s="80"/>
    </row>
    <row r="162" ht="15.75" customHeight="1">
      <c r="E162" s="80"/>
    </row>
    <row r="163" ht="15.75" customHeight="1">
      <c r="E163" s="80"/>
    </row>
    <row r="164" ht="15.75" customHeight="1">
      <c r="E164" s="80"/>
    </row>
    <row r="165" ht="15.75" customHeight="1">
      <c r="E165" s="80"/>
    </row>
    <row r="166" ht="15.75" customHeight="1">
      <c r="E166" s="80"/>
    </row>
    <row r="167" ht="15.75" customHeight="1">
      <c r="E167" s="80"/>
    </row>
    <row r="168" ht="15.75" customHeight="1">
      <c r="E168" s="80"/>
    </row>
    <row r="169" ht="15.75" customHeight="1">
      <c r="E169" s="80"/>
    </row>
    <row r="170" ht="15.75" customHeight="1">
      <c r="E170" s="80"/>
    </row>
    <row r="171" ht="15.75" customHeight="1">
      <c r="E171" s="80"/>
    </row>
    <row r="172" ht="15.75" customHeight="1">
      <c r="E172" s="80"/>
    </row>
    <row r="173" ht="15.75" customHeight="1">
      <c r="E173" s="80"/>
    </row>
    <row r="174" ht="15.75" customHeight="1">
      <c r="E174" s="80"/>
    </row>
    <row r="175" ht="15.75" customHeight="1">
      <c r="E175" s="80"/>
    </row>
    <row r="176" ht="15.75" customHeight="1">
      <c r="E176" s="80"/>
    </row>
    <row r="177" ht="15.75" customHeight="1">
      <c r="E177" s="80"/>
    </row>
    <row r="178" ht="15.75" customHeight="1">
      <c r="E178" s="80"/>
    </row>
    <row r="179" ht="15.75" customHeight="1">
      <c r="E179" s="80"/>
    </row>
    <row r="180" ht="15.75" customHeight="1">
      <c r="E180" s="80"/>
    </row>
    <row r="181" ht="15.75" customHeight="1">
      <c r="E181" s="80"/>
    </row>
    <row r="182" ht="15.75" customHeight="1">
      <c r="E182" s="80"/>
    </row>
    <row r="183" ht="15.75" customHeight="1">
      <c r="E183" s="80"/>
    </row>
    <row r="184" ht="15.75" customHeight="1">
      <c r="E184" s="80"/>
    </row>
    <row r="185" ht="15.75" customHeight="1">
      <c r="E185" s="80"/>
    </row>
    <row r="186" ht="15.75" customHeight="1">
      <c r="E186" s="80"/>
    </row>
    <row r="187" ht="15.75" customHeight="1">
      <c r="E187" s="80"/>
    </row>
    <row r="188" ht="15.75" customHeight="1">
      <c r="E188" s="80"/>
    </row>
    <row r="189" ht="15.75" customHeight="1">
      <c r="E189" s="80"/>
    </row>
    <row r="190" ht="15.75" customHeight="1">
      <c r="E190" s="80"/>
    </row>
    <row r="191" ht="15.75" customHeight="1">
      <c r="E191" s="80"/>
    </row>
    <row r="192" ht="15.75" customHeight="1">
      <c r="E192" s="80"/>
    </row>
    <row r="193" ht="15.75" customHeight="1">
      <c r="E193" s="80"/>
    </row>
    <row r="194" ht="15.75" customHeight="1">
      <c r="E194" s="80"/>
    </row>
    <row r="195" ht="15.75" customHeight="1">
      <c r="E195" s="80"/>
    </row>
    <row r="196" ht="15.75" customHeight="1">
      <c r="E196" s="80"/>
    </row>
    <row r="197" ht="15.75" customHeight="1">
      <c r="E197" s="80"/>
    </row>
    <row r="198" ht="15.75" customHeight="1">
      <c r="E198" s="80"/>
    </row>
    <row r="199" ht="15.75" customHeight="1">
      <c r="E199" s="80"/>
    </row>
    <row r="200" ht="15.75" customHeight="1">
      <c r="E200" s="80"/>
    </row>
    <row r="201" ht="15.75" customHeight="1">
      <c r="E201" s="80"/>
    </row>
    <row r="202" ht="15.75" customHeight="1">
      <c r="E202" s="80"/>
    </row>
    <row r="203" ht="15.75" customHeight="1">
      <c r="E203" s="80"/>
    </row>
    <row r="204" ht="15.75" customHeight="1">
      <c r="E204" s="80"/>
    </row>
    <row r="205" ht="15.75" customHeight="1">
      <c r="E205" s="80"/>
    </row>
    <row r="206" ht="15.75" customHeight="1">
      <c r="E206" s="80"/>
    </row>
    <row r="207" ht="15.75" customHeight="1">
      <c r="E207" s="80"/>
    </row>
    <row r="208" ht="15.75" customHeight="1">
      <c r="E208" s="80"/>
    </row>
    <row r="209" ht="15.75" customHeight="1">
      <c r="E209" s="80"/>
    </row>
    <row r="210" ht="15.75" customHeight="1">
      <c r="E210" s="80"/>
    </row>
    <row r="211" ht="15.75" customHeight="1">
      <c r="E211" s="80"/>
    </row>
    <row r="212" ht="15.75" customHeight="1">
      <c r="E212" s="80"/>
    </row>
    <row r="213" ht="15.75" customHeight="1">
      <c r="E213" s="80"/>
    </row>
    <row r="214" ht="15.75" customHeight="1">
      <c r="E214" s="80"/>
    </row>
    <row r="215" ht="15.75" customHeight="1">
      <c r="E215" s="80"/>
    </row>
    <row r="216" ht="15.75" customHeight="1">
      <c r="E216" s="80"/>
    </row>
    <row r="217" ht="15.75" customHeight="1">
      <c r="E217" s="80"/>
    </row>
    <row r="218" ht="15.75" customHeight="1">
      <c r="E218" s="80"/>
    </row>
    <row r="219" ht="15.75" customHeight="1">
      <c r="E219" s="80"/>
    </row>
    <row r="220" ht="15.75" customHeight="1">
      <c r="E220" s="80"/>
    </row>
    <row r="221" ht="15.75" customHeight="1">
      <c r="E221" s="80"/>
    </row>
    <row r="222" ht="15.75" customHeight="1">
      <c r="E222" s="80"/>
    </row>
    <row r="223" ht="15.75" customHeight="1">
      <c r="E223" s="80"/>
    </row>
    <row r="224" ht="15.75" customHeight="1">
      <c r="E224" s="80"/>
    </row>
    <row r="225" ht="15.75" customHeight="1">
      <c r="E225" s="80"/>
    </row>
    <row r="226" ht="15.75" customHeight="1">
      <c r="E226" s="80"/>
    </row>
    <row r="227" ht="15.75" customHeight="1">
      <c r="E227" s="80"/>
    </row>
    <row r="228" ht="15.75" customHeight="1">
      <c r="E228" s="80"/>
    </row>
    <row r="229" ht="15.75" customHeight="1">
      <c r="E229" s="80"/>
    </row>
    <row r="230" ht="15.75" customHeight="1">
      <c r="E230" s="80"/>
    </row>
    <row r="231" ht="15.75" customHeight="1">
      <c r="E231" s="80"/>
    </row>
    <row r="232" ht="15.75" customHeight="1">
      <c r="E232" s="80"/>
    </row>
    <row r="233" ht="15.75" customHeight="1">
      <c r="E233" s="80"/>
    </row>
    <row r="234" ht="15.75" customHeight="1">
      <c r="E234" s="80"/>
    </row>
    <row r="235" ht="15.75" customHeight="1">
      <c r="E235" s="80"/>
    </row>
    <row r="236" ht="15.75" customHeight="1">
      <c r="E236" s="80"/>
    </row>
    <row r="237" ht="15.75" customHeight="1">
      <c r="E237" s="80"/>
    </row>
    <row r="238" ht="15.75" customHeight="1">
      <c r="E238" s="80"/>
    </row>
    <row r="239" ht="15.75" customHeight="1">
      <c r="E239" s="80"/>
    </row>
    <row r="240" ht="15.75" customHeight="1">
      <c r="E240" s="80"/>
    </row>
    <row r="241" ht="15.75" customHeight="1">
      <c r="E241" s="80"/>
    </row>
    <row r="242" ht="15.75" customHeight="1">
      <c r="E242" s="80"/>
    </row>
    <row r="243" ht="15.75" customHeight="1">
      <c r="E243" s="80"/>
    </row>
    <row r="244" ht="15.75" customHeight="1">
      <c r="E244" s="80"/>
    </row>
    <row r="245" ht="15.75" customHeight="1">
      <c r="E245" s="80"/>
    </row>
    <row r="246" ht="15.75" customHeight="1">
      <c r="E246" s="80"/>
    </row>
    <row r="247" ht="15.75" customHeight="1">
      <c r="E247" s="80"/>
    </row>
    <row r="248" ht="15.75" customHeight="1">
      <c r="E248" s="80"/>
    </row>
    <row r="249" ht="15.75" customHeight="1">
      <c r="E249" s="80"/>
    </row>
    <row r="250" ht="15.75" customHeight="1">
      <c r="E250" s="80"/>
    </row>
    <row r="251" ht="15.75" customHeight="1">
      <c r="E251" s="80"/>
    </row>
    <row r="252" ht="15.75" customHeight="1">
      <c r="E252" s="80"/>
    </row>
    <row r="253" ht="15.75" customHeight="1">
      <c r="E253" s="80"/>
    </row>
    <row r="254" ht="15.75" customHeight="1">
      <c r="E254" s="80"/>
    </row>
    <row r="255" ht="15.75" customHeight="1">
      <c r="E255" s="80"/>
    </row>
    <row r="256" ht="15.75" customHeight="1">
      <c r="E256" s="80"/>
    </row>
    <row r="257" ht="15.75" customHeight="1">
      <c r="E257" s="80"/>
    </row>
    <row r="258" ht="15.75" customHeight="1">
      <c r="E258" s="80"/>
    </row>
    <row r="259" ht="15.75" customHeight="1">
      <c r="E259" s="80"/>
    </row>
    <row r="260" ht="15.75" customHeight="1">
      <c r="E260" s="80"/>
    </row>
    <row r="261" ht="15.75" customHeight="1">
      <c r="E261" s="80"/>
    </row>
    <row r="262" ht="15.75" customHeight="1">
      <c r="E262" s="80"/>
    </row>
    <row r="263" ht="15.75" customHeight="1">
      <c r="E263" s="80"/>
    </row>
    <row r="264" ht="15.75" customHeight="1">
      <c r="E264" s="80"/>
    </row>
    <row r="265" ht="15.75" customHeight="1">
      <c r="E265" s="80"/>
    </row>
    <row r="266" ht="15.75" customHeight="1">
      <c r="E266" s="80"/>
    </row>
    <row r="267" ht="15.75" customHeight="1">
      <c r="E267" s="80"/>
    </row>
    <row r="268" ht="15.75" customHeight="1">
      <c r="E268" s="80"/>
    </row>
    <row r="269" ht="15.75" customHeight="1">
      <c r="E269" s="80"/>
    </row>
    <row r="270" ht="15.75" customHeight="1">
      <c r="E270" s="80"/>
    </row>
    <row r="271" ht="15.75" customHeight="1">
      <c r="E271" s="80"/>
    </row>
    <row r="272" ht="15.75" customHeight="1">
      <c r="E272" s="80"/>
    </row>
    <row r="273" ht="15.75" customHeight="1">
      <c r="E273" s="80"/>
    </row>
    <row r="274" ht="15.75" customHeight="1">
      <c r="E274" s="80"/>
    </row>
    <row r="275" ht="15.75" customHeight="1">
      <c r="E275" s="80"/>
    </row>
    <row r="276" ht="15.75" customHeight="1">
      <c r="E276" s="80"/>
    </row>
    <row r="277" ht="15.75" customHeight="1">
      <c r="E277" s="80"/>
    </row>
    <row r="278" ht="15.75" customHeight="1">
      <c r="E278" s="80"/>
    </row>
    <row r="279" ht="15.75" customHeight="1">
      <c r="E279" s="80"/>
    </row>
    <row r="280" ht="15.75" customHeight="1">
      <c r="E280" s="80"/>
    </row>
    <row r="281" ht="15.75" customHeight="1">
      <c r="E281" s="80"/>
    </row>
    <row r="282" ht="15.75" customHeight="1">
      <c r="E282" s="80"/>
    </row>
    <row r="283" ht="15.75" customHeight="1">
      <c r="E283" s="80"/>
    </row>
    <row r="284" ht="15.75" customHeight="1">
      <c r="E284" s="80"/>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2" t="s">
        <v>4</v>
      </c>
      <c r="B1" s="3"/>
      <c r="C1" s="3"/>
      <c r="D1" s="3"/>
      <c r="E1" s="3"/>
    </row>
    <row r="2">
      <c r="A2" s="4"/>
    </row>
    <row r="3">
      <c r="A3" s="5" t="s">
        <v>200</v>
      </c>
      <c r="B3" s="3"/>
      <c r="C3" s="3"/>
      <c r="D3" s="3"/>
      <c r="E3" s="3"/>
    </row>
    <row r="4">
      <c r="A4" s="6"/>
    </row>
    <row r="5">
      <c r="A5" s="6" t="s">
        <v>6</v>
      </c>
      <c r="C5" s="7" t="s">
        <v>201</v>
      </c>
    </row>
    <row r="6">
      <c r="A6" s="6" t="s">
        <v>8</v>
      </c>
      <c r="C6" s="7" t="s">
        <v>202</v>
      </c>
    </row>
    <row r="7">
      <c r="A7" s="6" t="s">
        <v>10</v>
      </c>
      <c r="C7" s="7" t="s">
        <v>203</v>
      </c>
    </row>
    <row r="8">
      <c r="A8" s="6" t="s">
        <v>12</v>
      </c>
      <c r="C8" s="7" t="s">
        <v>204</v>
      </c>
    </row>
    <row r="9">
      <c r="A9" s="6"/>
    </row>
    <row r="10">
      <c r="A10" s="6" t="s">
        <v>14</v>
      </c>
    </row>
    <row r="11">
      <c r="A11" s="4"/>
    </row>
    <row r="12">
      <c r="A12" s="4" t="s">
        <v>15</v>
      </c>
    </row>
    <row r="13">
      <c r="A13" s="4"/>
    </row>
    <row r="14">
      <c r="A14" s="8" t="s">
        <v>16</v>
      </c>
      <c r="B14" s="8" t="s">
        <v>17</v>
      </c>
      <c r="C14" s="81" t="s">
        <v>18</v>
      </c>
      <c r="D14" s="8" t="s">
        <v>19</v>
      </c>
      <c r="E14" s="10" t="s">
        <v>20</v>
      </c>
    </row>
    <row r="15">
      <c r="A15" s="11" t="s">
        <v>21</v>
      </c>
      <c r="B15" s="11" t="s">
        <v>22</v>
      </c>
      <c r="C15" s="12">
        <f>C16</f>
        <v>10</v>
      </c>
      <c r="D15" s="13"/>
      <c r="E15" s="14"/>
    </row>
    <row r="16">
      <c r="A16" s="13" t="s">
        <v>23</v>
      </c>
      <c r="B16" s="13" t="s">
        <v>24</v>
      </c>
      <c r="C16" s="15">
        <v>10.0</v>
      </c>
      <c r="D16" s="13" t="s">
        <v>25</v>
      </c>
      <c r="E16" s="14"/>
    </row>
    <row r="17">
      <c r="A17" s="17" t="s">
        <v>27</v>
      </c>
      <c r="B17" s="17" t="s">
        <v>28</v>
      </c>
      <c r="C17" s="18">
        <f>SUM(C18:C27)</f>
        <v>58</v>
      </c>
      <c r="D17" s="19"/>
      <c r="E17" s="83"/>
    </row>
    <row r="18">
      <c r="A18" s="19" t="s">
        <v>29</v>
      </c>
      <c r="B18" s="19" t="s">
        <v>30</v>
      </c>
      <c r="C18" s="20">
        <v>5.0</v>
      </c>
      <c r="D18" s="19" t="s">
        <v>31</v>
      </c>
      <c r="E18" s="83"/>
    </row>
    <row r="19">
      <c r="A19" s="19" t="s">
        <v>32</v>
      </c>
      <c r="B19" s="19" t="s">
        <v>33</v>
      </c>
      <c r="C19" s="20">
        <v>3.0</v>
      </c>
      <c r="D19" s="19" t="s">
        <v>34</v>
      </c>
      <c r="E19" s="87" t="s">
        <v>205</v>
      </c>
    </row>
    <row r="20">
      <c r="A20" s="19" t="s">
        <v>35</v>
      </c>
      <c r="B20" s="19" t="s">
        <v>36</v>
      </c>
      <c r="C20" s="20">
        <v>5.0</v>
      </c>
      <c r="D20" s="19" t="s">
        <v>37</v>
      </c>
      <c r="E20" s="87"/>
    </row>
    <row r="21" ht="15.75" customHeight="1">
      <c r="A21" s="19" t="s">
        <v>38</v>
      </c>
      <c r="B21" s="19" t="s">
        <v>39</v>
      </c>
      <c r="C21" s="20">
        <v>10.0</v>
      </c>
      <c r="D21" s="21" t="s">
        <v>40</v>
      </c>
      <c r="E21" s="87" t="s">
        <v>206</v>
      </c>
    </row>
    <row r="22" ht="15.75" customHeight="1">
      <c r="A22" s="19" t="s">
        <v>42</v>
      </c>
      <c r="B22" s="19" t="s">
        <v>43</v>
      </c>
      <c r="C22" s="20">
        <v>10.0</v>
      </c>
      <c r="D22" s="19" t="s">
        <v>44</v>
      </c>
      <c r="E22" s="87" t="s">
        <v>207</v>
      </c>
    </row>
    <row r="23" ht="15.75" customHeight="1">
      <c r="A23" s="19" t="s">
        <v>46</v>
      </c>
      <c r="B23" s="19" t="s">
        <v>47</v>
      </c>
      <c r="C23" s="20">
        <v>5.0</v>
      </c>
      <c r="D23" s="19" t="s">
        <v>48</v>
      </c>
      <c r="E23" s="87"/>
    </row>
    <row r="24" ht="15.75" customHeight="1">
      <c r="A24" s="19" t="s">
        <v>49</v>
      </c>
      <c r="B24" s="19" t="s">
        <v>50</v>
      </c>
      <c r="C24" s="20">
        <v>0.0</v>
      </c>
      <c r="D24" s="19" t="s">
        <v>51</v>
      </c>
      <c r="E24" s="87" t="s">
        <v>208</v>
      </c>
    </row>
    <row r="25" ht="15.75" customHeight="1">
      <c r="A25" s="19" t="s">
        <v>52</v>
      </c>
      <c r="B25" s="19" t="s">
        <v>53</v>
      </c>
      <c r="C25" s="20">
        <v>5.0</v>
      </c>
      <c r="D25" s="19" t="s">
        <v>54</v>
      </c>
      <c r="E25" s="83"/>
    </row>
    <row r="26" ht="15.75" customHeight="1">
      <c r="A26" s="19" t="s">
        <v>55</v>
      </c>
      <c r="B26" s="19" t="s">
        <v>56</v>
      </c>
      <c r="C26" s="20">
        <v>10.0</v>
      </c>
      <c r="D26" s="19" t="s">
        <v>57</v>
      </c>
      <c r="E26" s="83"/>
    </row>
    <row r="27" ht="15.75" customHeight="1">
      <c r="A27" s="19" t="s">
        <v>58</v>
      </c>
      <c r="B27" s="19" t="s">
        <v>59</v>
      </c>
      <c r="C27" s="20">
        <v>5.0</v>
      </c>
      <c r="D27" s="19" t="s">
        <v>60</v>
      </c>
      <c r="E27" s="83"/>
    </row>
    <row r="28" ht="15.75" customHeight="1">
      <c r="A28" s="23" t="s">
        <v>61</v>
      </c>
      <c r="B28" s="23" t="s">
        <v>62</v>
      </c>
      <c r="C28" s="24">
        <f>SUM(C29:C31)</f>
        <v>10</v>
      </c>
      <c r="D28" s="25"/>
      <c r="E28" s="83"/>
    </row>
    <row r="29" ht="15.75" customHeight="1">
      <c r="A29" s="25" t="s">
        <v>63</v>
      </c>
      <c r="B29" s="25" t="s">
        <v>64</v>
      </c>
      <c r="C29" s="26">
        <v>5.0</v>
      </c>
      <c r="D29" s="27" t="s">
        <v>65</v>
      </c>
      <c r="E29" s="83"/>
    </row>
    <row r="30" ht="54.0" customHeight="1">
      <c r="A30" s="25" t="s">
        <v>67</v>
      </c>
      <c r="B30" s="25" t="s">
        <v>68</v>
      </c>
      <c r="C30" s="26">
        <v>5.0</v>
      </c>
      <c r="D30" s="27" t="s">
        <v>69</v>
      </c>
      <c r="E30" s="83"/>
    </row>
    <row r="31" ht="15.75" customHeight="1">
      <c r="A31" s="25" t="s">
        <v>71</v>
      </c>
      <c r="B31" s="25" t="s">
        <v>72</v>
      </c>
      <c r="C31" s="26">
        <v>0.0</v>
      </c>
      <c r="D31" s="27" t="s">
        <v>73</v>
      </c>
      <c r="E31" s="87" t="s">
        <v>209</v>
      </c>
    </row>
    <row r="32" ht="15.75" customHeight="1">
      <c r="A32" s="29"/>
      <c r="B32" s="29" t="s">
        <v>75</v>
      </c>
      <c r="C32" s="30">
        <f>C28+C17+C15</f>
        <v>78</v>
      </c>
      <c r="D32" s="29"/>
      <c r="E32" s="83"/>
    </row>
    <row r="33" ht="4.5" customHeight="1">
      <c r="A33" s="4"/>
      <c r="E33" s="80"/>
    </row>
    <row r="34" ht="15.75" customHeight="1">
      <c r="A34" s="32" t="s">
        <v>76</v>
      </c>
      <c r="E34" s="80"/>
    </row>
    <row r="35" ht="15.75" customHeight="1">
      <c r="A35" s="33"/>
      <c r="E35" s="80"/>
    </row>
    <row r="36" ht="15.75" customHeight="1">
      <c r="A36" s="34" t="s">
        <v>77</v>
      </c>
      <c r="E36" s="80"/>
    </row>
    <row r="37" ht="15.75" customHeight="1">
      <c r="A37" s="4"/>
      <c r="E37" s="80"/>
    </row>
    <row r="38" ht="15.75" customHeight="1">
      <c r="A38" s="4" t="s">
        <v>15</v>
      </c>
      <c r="E38" s="80"/>
    </row>
    <row r="39" ht="15.75" customHeight="1">
      <c r="A39" s="4"/>
      <c r="E39" s="80"/>
    </row>
    <row r="40" ht="15.75" customHeight="1">
      <c r="A40" s="35" t="s">
        <v>16</v>
      </c>
      <c r="B40" s="35" t="s">
        <v>78</v>
      </c>
      <c r="C40" s="88" t="s">
        <v>18</v>
      </c>
      <c r="D40" s="35" t="s">
        <v>19</v>
      </c>
      <c r="E40" s="82" t="s">
        <v>20</v>
      </c>
    </row>
    <row r="41" ht="15.75" customHeight="1">
      <c r="A41" s="38" t="s">
        <v>21</v>
      </c>
      <c r="B41" s="39" t="s">
        <v>79</v>
      </c>
      <c r="C41" s="40">
        <f>C42+C43+C44</f>
        <v>15</v>
      </c>
      <c r="D41" s="41"/>
      <c r="E41" s="83"/>
    </row>
    <row r="42" ht="15.75" customHeight="1">
      <c r="A42" s="42" t="s">
        <v>23</v>
      </c>
      <c r="B42" s="42" t="s">
        <v>80</v>
      </c>
      <c r="C42" s="43">
        <v>10.0</v>
      </c>
      <c r="D42" s="41" t="s">
        <v>81</v>
      </c>
      <c r="E42" s="83"/>
    </row>
    <row r="43" ht="15.75" customHeight="1">
      <c r="A43" s="42" t="s">
        <v>83</v>
      </c>
      <c r="B43" s="42" t="s">
        <v>84</v>
      </c>
      <c r="C43" s="43">
        <v>5.0</v>
      </c>
      <c r="D43" s="41" t="s">
        <v>85</v>
      </c>
      <c r="E43" s="83"/>
    </row>
    <row r="44" ht="15.75" customHeight="1">
      <c r="A44" s="42" t="s">
        <v>87</v>
      </c>
      <c r="B44" s="42" t="s">
        <v>88</v>
      </c>
      <c r="C44" s="43">
        <v>0.0</v>
      </c>
      <c r="D44" s="41" t="s">
        <v>89</v>
      </c>
      <c r="E44" s="83"/>
    </row>
    <row r="45" ht="15.75" customHeight="1">
      <c r="A45" s="44" t="s">
        <v>27</v>
      </c>
      <c r="B45" s="45" t="s">
        <v>91</v>
      </c>
      <c r="C45" s="46">
        <f>C46+C47</f>
        <v>30</v>
      </c>
      <c r="D45" s="47"/>
      <c r="E45" s="83"/>
    </row>
    <row r="46" ht="15.75" customHeight="1">
      <c r="A46" s="47" t="s">
        <v>29</v>
      </c>
      <c r="B46" s="48" t="s">
        <v>92</v>
      </c>
      <c r="C46" s="49">
        <v>10.0</v>
      </c>
      <c r="D46" s="47" t="s">
        <v>93</v>
      </c>
      <c r="E46" s="83"/>
    </row>
    <row r="47" ht="15.75" customHeight="1">
      <c r="A47" s="47" t="s">
        <v>32</v>
      </c>
      <c r="B47" s="48" t="s">
        <v>94</v>
      </c>
      <c r="C47" s="49">
        <v>20.0</v>
      </c>
      <c r="D47" s="50" t="s">
        <v>95</v>
      </c>
      <c r="E47" s="83"/>
    </row>
    <row r="48" ht="15.75" customHeight="1">
      <c r="A48" s="51" t="s">
        <v>61</v>
      </c>
      <c r="B48" s="52" t="s">
        <v>97</v>
      </c>
      <c r="C48" s="53">
        <f>C49+C50+C51</f>
        <v>10</v>
      </c>
      <c r="D48" s="54"/>
      <c r="E48" s="83"/>
    </row>
    <row r="49" ht="15.75" customHeight="1">
      <c r="A49" s="54" t="s">
        <v>63</v>
      </c>
      <c r="B49" s="55" t="s">
        <v>98</v>
      </c>
      <c r="C49" s="56">
        <v>0.0</v>
      </c>
      <c r="D49" s="54" t="s">
        <v>99</v>
      </c>
      <c r="E49" s="83"/>
    </row>
    <row r="50" ht="15.75" customHeight="1">
      <c r="A50" s="54" t="s">
        <v>67</v>
      </c>
      <c r="B50" s="55" t="s">
        <v>100</v>
      </c>
      <c r="C50" s="56">
        <v>10.0</v>
      </c>
      <c r="D50" s="54" t="s">
        <v>101</v>
      </c>
      <c r="E50" s="83"/>
    </row>
    <row r="51" ht="15.75" customHeight="1">
      <c r="A51" s="54" t="s">
        <v>71</v>
      </c>
      <c r="B51" s="55" t="s">
        <v>102</v>
      </c>
      <c r="C51" s="56">
        <v>0.0</v>
      </c>
      <c r="D51" s="54" t="s">
        <v>103</v>
      </c>
      <c r="E51" s="83"/>
    </row>
    <row r="52" ht="15.75" customHeight="1">
      <c r="A52" s="57" t="s">
        <v>104</v>
      </c>
      <c r="B52" s="58" t="s">
        <v>105</v>
      </c>
      <c r="C52" s="59">
        <f>C53</f>
        <v>15</v>
      </c>
      <c r="D52" s="60"/>
      <c r="E52" s="83"/>
    </row>
    <row r="53" ht="15.75" customHeight="1">
      <c r="A53" s="60" t="s">
        <v>106</v>
      </c>
      <c r="B53" s="61" t="s">
        <v>107</v>
      </c>
      <c r="C53" s="62">
        <v>15.0</v>
      </c>
      <c r="D53" s="60" t="s">
        <v>108</v>
      </c>
      <c r="E53" s="83"/>
    </row>
    <row r="54" ht="15.75" customHeight="1">
      <c r="A54" s="29"/>
      <c r="B54" s="29" t="s">
        <v>109</v>
      </c>
      <c r="C54" s="63">
        <f>C52+C48+C45+C41</f>
        <v>70</v>
      </c>
      <c r="D54" s="29"/>
      <c r="E54" s="83">
        <v>1.0</v>
      </c>
    </row>
    <row r="55" ht="15.75" customHeight="1">
      <c r="A55" s="64"/>
      <c r="E55" s="80"/>
    </row>
    <row r="56" ht="15.75" customHeight="1">
      <c r="A56" s="65" t="s">
        <v>110</v>
      </c>
      <c r="D56" s="66"/>
      <c r="E56" s="80"/>
    </row>
    <row r="57" ht="15.75" customHeight="1">
      <c r="A57" s="65"/>
      <c r="D57" s="66"/>
      <c r="E57" s="80"/>
    </row>
    <row r="58" ht="15.75" customHeight="1">
      <c r="A58" s="67" t="s">
        <v>111</v>
      </c>
      <c r="B58" s="68" t="s">
        <v>112</v>
      </c>
      <c r="C58" s="68"/>
      <c r="D58" s="68" t="s">
        <v>113</v>
      </c>
      <c r="E58" s="80"/>
    </row>
    <row r="59" ht="15.75" customHeight="1">
      <c r="A59" s="69">
        <v>1.0</v>
      </c>
      <c r="B59" s="14" t="s">
        <v>210</v>
      </c>
      <c r="C59" s="14"/>
      <c r="D59" s="70" t="s">
        <v>211</v>
      </c>
    </row>
    <row r="60" ht="15.75" customHeight="1">
      <c r="A60" s="69">
        <v>2.0</v>
      </c>
      <c r="B60" s="14" t="s">
        <v>212</v>
      </c>
      <c r="C60" s="14"/>
      <c r="D60" s="70" t="s">
        <v>213</v>
      </c>
    </row>
    <row r="61" ht="15.75" customHeight="1">
      <c r="A61" s="69">
        <v>3.0</v>
      </c>
      <c r="B61" s="14" t="s">
        <v>214</v>
      </c>
      <c r="C61" s="14"/>
      <c r="D61" s="70" t="s">
        <v>215</v>
      </c>
    </row>
    <row r="62" ht="15.75" customHeight="1">
      <c r="A62" s="69">
        <v>4.0</v>
      </c>
      <c r="B62" s="14" t="s">
        <v>216</v>
      </c>
      <c r="C62" s="14"/>
      <c r="D62" s="70" t="s">
        <v>217</v>
      </c>
    </row>
    <row r="63" ht="15.75" customHeight="1">
      <c r="A63" s="69">
        <v>5.0</v>
      </c>
      <c r="B63" s="14" t="s">
        <v>218</v>
      </c>
      <c r="C63" s="14"/>
      <c r="D63" s="70" t="s">
        <v>219</v>
      </c>
    </row>
    <row r="64" ht="15.75" customHeight="1">
      <c r="A64" s="69">
        <v>6.0</v>
      </c>
      <c r="B64" s="14" t="s">
        <v>220</v>
      </c>
      <c r="C64" s="14"/>
      <c r="D64" s="70"/>
    </row>
    <row r="65" ht="15.75" customHeight="1">
      <c r="A65" s="69"/>
      <c r="B65" s="14"/>
      <c r="C65" s="14"/>
      <c r="D65" s="70"/>
    </row>
    <row r="66" ht="15.75" customHeight="1">
      <c r="A66" s="69"/>
      <c r="B66" s="14"/>
      <c r="C66" s="14"/>
      <c r="D66" s="70"/>
    </row>
    <row r="67" ht="15.75" customHeight="1">
      <c r="A67" s="69"/>
      <c r="B67" s="14"/>
      <c r="C67" s="14"/>
      <c r="D67" s="70"/>
    </row>
    <row r="68" ht="15.75" customHeight="1">
      <c r="A68" s="69"/>
      <c r="B68" s="14"/>
      <c r="C68" s="14"/>
      <c r="D68" s="70"/>
    </row>
    <row r="69" ht="15.75" customHeight="1">
      <c r="A69" s="65"/>
      <c r="D69" s="66"/>
    </row>
    <row r="70" ht="15.75" customHeight="1">
      <c r="A70" s="65"/>
      <c r="D70" s="66"/>
    </row>
    <row r="71" ht="15.75" customHeight="1">
      <c r="A71" s="65"/>
      <c r="D71" s="66"/>
    </row>
    <row r="72" ht="15.75" customHeight="1">
      <c r="A72" s="71" t="s">
        <v>124</v>
      </c>
      <c r="B72" s="72"/>
      <c r="C72" s="72"/>
      <c r="D72" s="73" t="str">
        <f>IF(AND(C32&gt;80,C54&gt;80),"Layak Klaim",IF(AND(C32&gt;=60,C32&lt;=80,C54&gt;80),"Perlu Koreksi",IF(AND(C32&gt;=60,C32&lt;=80,C54&gt;=60,C54&lt;=80),"Perlu Koreksi",IF(AND(C32&gt;80,C54&gt;=60,C54&lt;=80),"Perlu Koreksi","Tidak Layak"))))</f>
        <v>Perlu Koreksi</v>
      </c>
      <c r="E72" s="72"/>
      <c r="F72" s="72"/>
      <c r="G72" s="72"/>
      <c r="H72" s="72"/>
      <c r="I72" s="72"/>
      <c r="J72" s="72"/>
      <c r="K72" s="72"/>
      <c r="L72" s="72"/>
      <c r="M72" s="72"/>
      <c r="N72" s="72"/>
      <c r="O72" s="72"/>
      <c r="P72" s="72"/>
      <c r="Q72" s="72"/>
      <c r="R72" s="72"/>
      <c r="S72" s="72"/>
      <c r="T72" s="72"/>
      <c r="U72" s="72"/>
      <c r="V72" s="72"/>
      <c r="W72" s="72"/>
      <c r="X72" s="72"/>
      <c r="Y72" s="72"/>
      <c r="Z72" s="72"/>
    </row>
    <row r="73" ht="15.75" customHeight="1">
      <c r="A73" s="74"/>
    </row>
    <row r="74" ht="15.75" customHeight="1">
      <c r="A74" s="74" t="s">
        <v>125</v>
      </c>
    </row>
    <row r="75" ht="15.75" customHeight="1">
      <c r="B75" s="75" t="s">
        <v>126</v>
      </c>
      <c r="D75" s="76" t="s">
        <v>127</v>
      </c>
      <c r="E75" s="76" t="s">
        <v>128</v>
      </c>
      <c r="F75" s="75" t="s">
        <v>129</v>
      </c>
    </row>
    <row r="76" ht="15.75" customHeight="1">
      <c r="B76" s="77" t="s">
        <v>130</v>
      </c>
      <c r="D76" s="29" t="s">
        <v>131</v>
      </c>
      <c r="E76" s="29" t="s">
        <v>131</v>
      </c>
      <c r="F76" s="78" t="s">
        <v>132</v>
      </c>
    </row>
    <row r="77" ht="15.75" customHeight="1">
      <c r="B77" s="29" t="s">
        <v>133</v>
      </c>
      <c r="D77" s="29" t="s">
        <v>134</v>
      </c>
      <c r="E77" s="29" t="s">
        <v>134</v>
      </c>
      <c r="F77" s="78" t="s">
        <v>135</v>
      </c>
    </row>
    <row r="78" ht="15.75" customHeight="1">
      <c r="B78" s="29" t="s">
        <v>136</v>
      </c>
      <c r="D78" s="29" t="s">
        <v>137</v>
      </c>
      <c r="E78" s="29" t="s">
        <v>137</v>
      </c>
      <c r="F78" s="78" t="s">
        <v>138</v>
      </c>
    </row>
    <row r="79" ht="15.75" customHeight="1">
      <c r="A79" s="4"/>
    </row>
    <row r="80" ht="15.75" customHeight="1">
      <c r="A80" s="79" t="s">
        <v>139</v>
      </c>
    </row>
    <row r="81" ht="15.75" customHeight="1">
      <c r="A81" s="4" t="s">
        <v>140</v>
      </c>
    </row>
    <row r="82" ht="15.75" customHeight="1">
      <c r="A82" s="4" t="s">
        <v>141</v>
      </c>
    </row>
    <row r="83" ht="15.75" customHeight="1">
      <c r="A83" s="4" t="s">
        <v>142</v>
      </c>
    </row>
    <row r="84" ht="15.75" customHeight="1">
      <c r="A84" s="4" t="s">
        <v>143</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1"/>
</worksheet>
</file>