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4.xml"/>
  <Override ContentType="application/vnd.ms-excel.documenttasks+xml" PartName="/xl/documenttasks/documenttask5.xml"/>
  <Override ContentType="application/vnd.ms-excel.documenttasks+xml" PartName="/xl/documenttasks/documenttask6.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4.xml"/>
  <Override ContentType="application/vnd.ms-excel.threadedcomments+xml" PartName="/xl/threadedComments/threadedComment5.xml"/>
  <Override ContentType="application/vnd.ms-excel.threadedcomments+xml" PartName="/xl/threadedComments/threadedComment6.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OTES PENTING !!" sheetId="1" r:id="rId5"/>
    <sheet state="visible" name="RM 1" sheetId="2" r:id="rId6"/>
    <sheet state="visible" name="RM 2" sheetId="3" r:id="rId7"/>
    <sheet state="visible" name="RM 3" sheetId="4" r:id="rId8"/>
    <sheet state="visible" name="RM 4" sheetId="5" r:id="rId9"/>
    <sheet state="visible" name="RM 5" sheetId="6" r:id="rId10"/>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tc={975881fc-cb62-484c-a4ab-c0915c108a63}</author>
  </authors>
  <commentList>
    <comment authorId="0" xr:uid="{975881fc-cb62-484c-a4ab-c0915c108a63}" ref="A1">
      <text>
        <t xml:space="preserve">[Threaded comment]
 Your version of Excel allows you to read this threaded comment; however, any edits to it will get removed if the file is opened in a newer version of Excel. Learn more: https://go.microsoft.com/fwlink/?linkid=870924
Comment:
	Isi Dengan Alasan merekomendasi Diagnosa/Tindakan tersebut disertai Bukti Dukung Hasil Analisis Kualitatif
	-Riki Permana Putra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tc={e7ea0e8d-fd51-43d9-a602-37057f89038e}</author>
  </authors>
  <commentList>
    <comment authorId="0" xr:uid="{e7ea0e8d-fd51-43d9-a602-37057f89038e}" ref="D58">
      <text>
        <t xml:space="preserve">[Threaded comment]
 Your version of Excel allows you to read this threaded comment; however, any edits to it will get removed if the file is opened in a newer version of Excel. Learn more: https://go.microsoft.com/fwlink/?linkid=870924
Comment:
	Isi Dengan Alasan merekomendasi Diagnosa/Tindakan tersebut disertai Bukti Dukung Hasil Analisis Kualitatif
	-Riki Permana Putra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tc={4bec27be-fefb-489e-964b-d8ab001eed2d}</author>
  </authors>
  <commentList>
    <comment authorId="0" xr:uid="{4bec27be-fefb-489e-964b-d8ab001eed2d}" ref="D58">
      <text>
        <t xml:space="preserve">[Threaded comment]
 Your version of Excel allows you to read this threaded comment; however, any edits to it will get removed if the file is opened in a newer version of Excel. Learn more: https://go.microsoft.com/fwlink/?linkid=870924
Comment:
	Isi Dengan Alasan merekomendasi Diagnosa/Tindakan tersebut disertai Bukti Dukung Hasil Analisis Kualitatif
	-Riki Permana Putra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tc={a6397c2f-bfbd-43d3-84d1-51dd6a3b12a9}</author>
  </authors>
  <commentList>
    <comment authorId="0" xr:uid="{a6397c2f-bfbd-43d3-84d1-51dd6a3b12a9}" ref="D58">
      <text>
        <t xml:space="preserve">[Threaded comment]
 Your version of Excel allows you to read this threaded comment; however, any edits to it will get removed if the file is opened in a newer version of Excel. Learn more: https://go.microsoft.com/fwlink/?linkid=870924
Comment:
	Isi Dengan Alasan merekomendasi Diagnosa/Tindakan tersebut disertai Bukti Dukung Hasil Analisis Kualitatif
	-Riki Permana Putra
</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tc={57316afb-ec78-41dc-b185-1df1cc778b81}</author>
  </authors>
  <commentList>
    <comment authorId="0" xr:uid="{57316afb-ec78-41dc-b185-1df1cc778b81}" ref="D58">
      <text>
        <t xml:space="preserve">[Threaded comment]
 Your version of Excel allows you to read this threaded comment; however, any edits to it will get removed if the file is opened in a newer version of Excel. Learn more: https://go.microsoft.com/fwlink/?linkid=870924
Comment:
	Isi Dengan Alasan merekomendasi Diagnosa/Tindakan tersebut disertai Bukti Dukung Hasil Analisis Kualitatif
	-Riki Permana Putra
</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tc={0466bd2f-bd66-4085-9e4e-9b17efddaf6e}</author>
  </authors>
  <commentList>
    <comment authorId="0" xr:uid="{0466bd2f-bd66-4085-9e4e-9b17efddaf6e}" ref="D58">
      <text>
        <t xml:space="preserve">[Threaded comment]
 Your version of Excel allows you to read this threaded comment; however, any edits to it will get removed if the file is opened in a newer version of Excel. Learn more: https://go.microsoft.com/fwlink/?linkid=870924
Comment:
	Isi Dengan Alasan merekomendasi Diagnosa/Tindakan tersebut disertai Bukti Dukung Hasil Analisis Kualitatif
	-Riki Permana Putra
</t>
      </text>
    </comment>
  </commentList>
</comments>
</file>

<file path=xl/sharedStrings.xml><?xml version="1.0" encoding="utf-8"?>
<sst xmlns="http://schemas.openxmlformats.org/spreadsheetml/2006/main" count="686" uniqueCount="136">
  <si>
    <t>Angkatan 21</t>
  </si>
  <si>
    <t>NOTES PENTING !!!</t>
  </si>
  <si>
    <t>SEMUA IDENTITAS KARENA SUDAH ERM MAKA DIANGGAP LENGKAP (Ditutup untuk menjaga privasi)</t>
  </si>
  <si>
    <t>SEMUA NAMA DOKTER DAN AUTENTIKASI TTD JUGA DIANGGAP LENGKAP (Ditutup untuk menjaga privasi)</t>
  </si>
  <si>
    <t>UNTUK FORM YANG TIDAK BISA DINILAI ATAU N/A MAKA BERIKAN NILAI TERTINGGI YAKNI 5</t>
  </si>
  <si>
    <t>FORMAT ANALISIS RESUME MEDIS UNTUK KLAIM JKN</t>
  </si>
  <si>
    <r>
      <rPr>
        <rFont val="Arial"/>
        <b/>
        <color rgb="FF0F1115"/>
        <sz val="12.0"/>
      </rPr>
      <t>Definisi Operasional Umum:</t>
    </r>
    <r>
      <rPr>
        <rFont val="Arial"/>
        <color rgb="FF0F1115"/>
        <sz val="12.0"/>
      </rPr>
      <t xml:space="preserve"> 
Instrument ini digunakan untuk menilai kelengkapan administratif (kuantitatif) dan kesesuaian klinis (kualitatif) dari Resume Medis dan berkas pendukung klaim JKN. Tujuannya adalah memastikan keakuratan pengkodean ICD dalam iDRG serta kelayakan pembayaran secara prosedural dan klinis.</t>
    </r>
  </si>
  <si>
    <t>No Rekam Medis</t>
  </si>
  <si>
    <t>No SEP</t>
  </si>
  <si>
    <t>Nama Pasien</t>
  </si>
  <si>
    <t>Nama DPJP</t>
  </si>
  <si>
    <t>I. ANALISIS KUANTITATIF (KELENGKAPAN ADMINISTRATIF)</t>
  </si>
  <si>
    <t>Skor Maksimal: 100</t>
  </si>
  <si>
    <t>No</t>
  </si>
  <si>
    <t>Komponen Penilaian</t>
  </si>
  <si>
    <t>Skor</t>
  </si>
  <si>
    <t>Definisi Operasional &amp; Kriteria Penilaian</t>
  </si>
  <si>
    <t>Keterangan</t>
  </si>
  <si>
    <t>A</t>
  </si>
  <si>
    <t>SEP (Surat Eligibilitas Peserta)</t>
  </si>
  <si>
    <t>A1</t>
  </si>
  <si>
    <t>Kesesuaian Tanggal</t>
  </si>
  <si>
    <t>Skor 10: Tanggal SEP sesuai dengan tanggal masuk rawat inap.
Skor 0: Tidak sesuai/tidak ada/tidak valid.</t>
  </si>
  <si>
    <t>sesuai tanggal masuk di SEP dan di Resume</t>
  </si>
  <si>
    <t>B</t>
  </si>
  <si>
    <t>RESUME MEDIS</t>
  </si>
  <si>
    <t>B1</t>
  </si>
  <si>
    <t>Identitas Pasien Lengkap</t>
  </si>
  <si>
    <t>Skor 5: Nama, NIK, no. BPJS, umur, jenis kelamin, alamat lengkap dan sesuai.
Skor 3: Ada 1-2 data yang kurang.
Skor 0: Tidak lengkap/tidak ada.</t>
  </si>
  <si>
    <t>B2</t>
  </si>
  <si>
    <t>Tanggal &amp; Jam Masuk/Keluar</t>
  </si>
  <si>
    <t>Skor 5: Lengkap (tanggal &amp; jam).
Skor 3: Hanya tanggal.
Skor 0: Tidak ada.</t>
  </si>
  <si>
    <t>B3</t>
  </si>
  <si>
    <t>Anamnesis &amp; Kondisi Saat Masuk</t>
  </si>
  <si>
    <t>Skor 5: Keluhan utama dan temuan awal didokumentasikan dengan jelas.
Skor 0: Tidak ada/hanya diagnosa.</t>
  </si>
  <si>
    <t xml:space="preserve">tertulis jelas </t>
  </si>
  <si>
    <t>B4</t>
  </si>
  <si>
    <t>Diagnosa Utama &amp; Sekunder</t>
  </si>
  <si>
    <t>Skor 15: Ditulis lengkap (tidak disingkat), sesuai ICD-10, dan urutan benar (utama -&gt; komplikasi -&gt; komorbid).
Skor 10: Ada singkatan/urutan kurang tepat atau diagnosa utama dan sekunder ditulis dalam 1 kolom dan tidak ada pembeda mana diagnosa utama atau sekunder.
Skor 5: Hanya kode ICD Saja.
Skor 0: Tidak ada.</t>
  </si>
  <si>
    <t>B5</t>
  </si>
  <si>
    <t>Prosedur/Tindakan Medis</t>
  </si>
  <si>
    <t>Skor 15: Semua prosedur (utama &amp; sekunder) ditulis lengkap, termasuk waktu pelaksanaan.
Skor 10: Ada prosedur yang tidak lengkap.
Skor 5: Hanya kode.
Skor 0: Tidak ada.</t>
  </si>
  <si>
    <t>B6</t>
  </si>
  <si>
    <t>Pengobatan &amp; Tatalaksana</t>
  </si>
  <si>
    <t>Skor 5: Rincian obat, dosis, dan cara pemberian tercantum.
Skor 0: Tidak diuraikan.</t>
  </si>
  <si>
    <t>B7</t>
  </si>
  <si>
    <t>Hasil Pemeriksaan Penunjang</t>
  </si>
  <si>
    <t>Skor 5: Hasil lab/radiologi/patologi yang kritikal tercantum.
Skor 0: Tidak ada.</t>
  </si>
  <si>
    <t>B8</t>
  </si>
  <si>
    <t>Kondisi &amp; Rencana Saat Pulang</t>
  </si>
  <si>
    <t>Skor 5: Instruksi tindak lanjut spesifik dan kondisi pasien jelas.
Skor 3: Hanya "kontrol ulang".
Skor 0: Tidak ada/tidak logis.</t>
  </si>
  <si>
    <t>B9</t>
  </si>
  <si>
    <t>Autentikasi DPJP (Nama &amp; TTD)</t>
  </si>
  <si>
    <t>Skor 10: Ada TTD dan nama jelas DPJP.
Skor 5: Hanya TTD atau hanya cap.
Skor 0: Tidak ada.</t>
  </si>
  <si>
    <t>B10</t>
  </si>
  <si>
    <t>Tanggal Pembuatan Resume</t>
  </si>
  <si>
    <t>Skor 5: Dibuat ≤ 2x24 jam setelah keluar dan tercantum.
Skor 0: Tidak ada/tidak sesuai.</t>
  </si>
  <si>
    <t>C</t>
  </si>
  <si>
    <t>DOKUMEN PENDUKUNG</t>
  </si>
  <si>
    <t>C1</t>
  </si>
  <si>
    <t>Surat Keterangan Meninggal*</t>
  </si>
  <si>
    <t>NA</t>
  </si>
  <si>
    <t>Skor 5: Ada dan lengkap (sebab &amp; waktu)
Skor 0: Tidak ada (jika pasien meninggal).
NA: Tidak berlaku untuk pasien dengan cara keluar Persetujuan dokter / dirujuk, APS.</t>
  </si>
  <si>
    <t>C2</t>
  </si>
  <si>
    <t>Laporan Operasi/Tindakan</t>
  </si>
  <si>
    <t>Skor 5: Tersedia dan detail prosedur sesuai resume.
Skor 0: Tidak ada/tidak sesuai.
NA: Tidak berlaku untuk pasien tanpa tindakan operatif.</t>
  </si>
  <si>
    <t>C3</t>
  </si>
  <si>
    <t>Informed Consent*</t>
  </si>
  <si>
    <t>Skor 5: Tersedia untuk tindakan invasif/berisiko tinggi.
Skor 0: Tidak ada.
NA: Tidak diperlukan jika tidak dilakukan tindakan medis operatif/non operatif.</t>
  </si>
  <si>
    <t>TOTAL NILAI KUANTITATIF</t>
  </si>
  <si>
    <t>*Hanya dinilai jika berlaku</t>
  </si>
  <si>
    <t>II. ANALISIS KUALITATIF (KESESUAIAN KLINIS &amp; iDRG)</t>
  </si>
  <si>
    <t>Parameter</t>
  </si>
  <si>
    <t>Kesesuaian Diagnosa</t>
  </si>
  <si>
    <t>Diagnosa Utama vs Temuan Klinis</t>
  </si>
  <si>
    <t>Skor 15: Sangat didukung anamnesis, pemeriksaan fisik, dan penunjang.
Skor 10: Kurang didukung.
Skor 0: Tidak didukung.</t>
  </si>
  <si>
    <t>TDmasuk 173, pasien post Pasang CDL, on HD</t>
  </si>
  <si>
    <t>A2</t>
  </si>
  <si>
    <t>Diagnosa Sekunder vs Komplikasi/Komorbid</t>
  </si>
  <si>
    <t>Skor 10: Relevan dan dokumentasi jelas.
Skor 5: Kurang relevan.
Skor 0: Tidak relevan.</t>
  </si>
  <si>
    <t>Terdapat Pemeriksaan GDS berulang terapi obat Sansulin, AKan tetapi tidak disebutkan DM hanya HHD nya di resume medisnya</t>
  </si>
  <si>
    <t>A3</t>
  </si>
  <si>
    <t>Urutan Penulisan Diagnosa</t>
  </si>
  <si>
    <t>Skor 5: Urutan: Utama -&gt; Komplikasi -&gt; Komorbid.
Skor 0: Urutan salah.</t>
  </si>
  <si>
    <t>sesuai urutan, akan tetapi belum lengkap</t>
  </si>
  <si>
    <t>Kesesuaian Tatalaksana</t>
  </si>
  <si>
    <t>Pengobatan dengan Diagnosis</t>
  </si>
  <si>
    <t>Skor 10: Obat sangat tepat sesuai pedoman klinis.
Skor 5: Kurang optimal.
Skor 0: Tidak tepat.</t>
  </si>
  <si>
    <t>Kesesuaian Prosedur Utama &amp; Diagnosa Utama (iDRG)</t>
  </si>
  <si>
    <t>Skor 20: Sangat Sesuai. Prosedur langsung menangani diagnosa utama (e.g., Apendiktomi untuk Apendisitis).
Skor 10: Cukup Sesuai. Hubungan tidak langsung (e.g., Kolonoskopi untuk Ca. Colon).
Skor 5: Tidak Sesuai. Hubungan lemah (e.g., Artroskopi untuk Gagal Jantung).
Skor 0: Kesalahan Prosedur &amp; Diagnosa Utama (Incorrect sequencing)</t>
  </si>
  <si>
    <t>Kesesuaian Dokumentasi</t>
  </si>
  <si>
    <t>Kelengkapan Data dalam Resume</t>
  </si>
  <si>
    <t>Skor 10: Semua data penting dari RM terangkum.
Skor 5: Ada data minor terlewat.
Skor 0: Ada data major terlewat.</t>
  </si>
  <si>
    <t>Konsistensi dengan Laporan Tindakan</t>
  </si>
  <si>
    <t>Skor 10: Deskripsi prosedur identik antara resume dan laporan.
Skor 5: Ada perbedaan minor.
Skor 0: Ada perbedaan major.</t>
  </si>
  <si>
    <t>Kesesuaian dengan Hasil Penunjang</t>
  </si>
  <si>
    <t>Skor 5: Diagnosa konsisten dengan hasil lab/radiologi.
Skor 0: Tidak konsisten/bertentangan.</t>
  </si>
  <si>
    <t>D</t>
  </si>
  <si>
    <t>Kelayakan Rawat Inap</t>
  </si>
  <si>
    <t>D1</t>
  </si>
  <si>
    <t>Indikasi Rawat Inap</t>
  </si>
  <si>
    <t>Skor 15: Kondisi sangat jelas memerlukan rawat inap.
Skor 10: Indikasi kurang kuat.
Skor 0: Tidak ada indikasi (bisa rawat jalan).</t>
  </si>
  <si>
    <t>TOTAL NILAI KUALITATIF</t>
  </si>
  <si>
    <t>Rekomendasi DIagnosa &amp; Tindakan yang perlu dikonfirmasi ke DPJP</t>
  </si>
  <si>
    <t>no</t>
  </si>
  <si>
    <t>Nama Diagnosa/Tindakan</t>
  </si>
  <si>
    <t>Hal yang perlu dikonfirmasi</t>
  </si>
  <si>
    <t>Kesimpulan</t>
  </si>
  <si>
    <t>INTERPRETASI HASIL &amp; TINDAK LANJUT</t>
  </si>
  <si>
    <t>Kategori Nilai</t>
  </si>
  <si>
    <t>Kuantitatif (dari 100)</t>
  </si>
  <si>
    <t>Kualitatif (dari 100)</t>
  </si>
  <si>
    <t>Tindakan</t>
  </si>
  <si>
    <t>Layak Klaim</t>
  </si>
  <si>
    <t>≥ 80</t>
  </si>
  <si>
    <t>Klaim dapat diajukan tanpa koreksi.</t>
  </si>
  <si>
    <t>Perlu Koreksi</t>
  </si>
  <si>
    <t>60 - 79</t>
  </si>
  <si>
    <t>Klaim harus dikoreksi dan diaudit ulang sebelum diajukan.</t>
  </si>
  <si>
    <t>Tidak Layak</t>
  </si>
  <si>
    <t>&lt; 60</t>
  </si>
  <si>
    <t>Klaim berisiko tinggi ditolak. Perlu pemeriksaan mendalam dan mungkin tidak diajukan.</t>
  </si>
  <si>
    <t>Poin Kritis yang Menyebabkan Klaim Ditolak:</t>
  </si>
  <si>
    <t>SEP tidak valid.</t>
  </si>
  <si>
    <t>Tidak ada autentikasi DPJP (B9).</t>
  </si>
  <si>
    <t>Kesesuaian Diagnosa-Prosedur Utama (B2) bernilai 0.</t>
  </si>
  <si>
    <t>Indikasi rawat inap tidak jelas (D1 bernilai 0).</t>
  </si>
  <si>
    <r>
      <rPr>
        <rFont val="Arial"/>
        <b/>
        <color rgb="FF0F1115"/>
        <sz val="12.0"/>
      </rPr>
      <t>Definisi Operasional Umum:</t>
    </r>
    <r>
      <rPr>
        <rFont val="Arial"/>
        <color rgb="FF0F1115"/>
        <sz val="12.0"/>
      </rPr>
      <t xml:space="preserve"> 
Instrument ini digunakan untuk menilai kelengkapan administratif (kuantitatif) dan kesesuaian klinis (kualitatif) dari Resume Medis dan berkas pendukung klaim JKN. Tujuannya adalah memastikan keakuratan pengkodean ICD dalam iDRG serta kelayakan pembayaran secara prosedural dan klinis.</t>
    </r>
  </si>
  <si>
    <r>
      <rPr>
        <rFont val="Arial"/>
        <b/>
        <color rgb="FF0F1115"/>
        <sz val="12.0"/>
      </rPr>
      <t>Definisi Operasional Umum:</t>
    </r>
    <r>
      <rPr>
        <rFont val="Arial"/>
        <color rgb="FF0F1115"/>
        <sz val="12.0"/>
      </rPr>
      <t xml:space="preserve"> 
Instrument ini digunakan untuk menilai kelengkapan administratif (kuantitatif) dan kesesuaian klinis (kualitatif) dari Resume Medis dan berkas pendukung klaim JKN. Tujuannya adalah memastikan keakuratan pengkodean ICD dalam iDRG serta kelayakan pembayaran secara prosedural dan klinis.</t>
    </r>
  </si>
  <si>
    <t>tidak ada alamat</t>
  </si>
  <si>
    <r>
      <rPr>
        <rFont val="Arial"/>
        <b/>
        <color rgb="FF0F1115"/>
        <sz val="12.0"/>
      </rPr>
      <t>Definisi Operasional Umum:</t>
    </r>
    <r>
      <rPr>
        <rFont val="Arial"/>
        <color rgb="FF0F1115"/>
        <sz val="12.0"/>
      </rPr>
      <t xml:space="preserve"> 
Instrument ini digunakan untuk menilai kelengkapan administratif (kuantitatif) dan kesesuaian klinis (kualitatif) dari Resume Medis dan berkas pendukung klaim JKN. Tujuannya adalah memastikan keakuratan pengkodean ICD dalam iDRG serta kelayakan pembayaran secara prosedural dan klinis.</t>
    </r>
  </si>
  <si>
    <t xml:space="preserve">hasil transfusi </t>
  </si>
  <si>
    <t>indikasi rawat inap kurang mejabarkan kondisi pasien dengan adenoma carcinoma prostat, tidak ada hasil ca patologi anemia</t>
  </si>
  <si>
    <r>
      <rPr>
        <rFont val="Arial"/>
        <b/>
        <color rgb="FF0F1115"/>
        <sz val="12.0"/>
      </rPr>
      <t>Definisi Operasional Umum:</t>
    </r>
    <r>
      <rPr>
        <rFont val="Arial"/>
        <color rgb="FF0F1115"/>
        <sz val="12.0"/>
      </rPr>
      <t xml:space="preserve"> 
Instrument ini digunakan untuk menilai kelengkapan administratif (kuantitatif) dan kesesuaian klinis (kualitatif) dari Resume Medis dan berkas pendukung klaim JKN. Tujuannya adalah memastikan keakuratan pengkodean ICD dalam iDRG serta kelayakan pembayaran secara prosedural dan klinis.</t>
    </r>
  </si>
  <si>
    <t>alamat lengkap tidak dicantumkan di resume, jenis kelamin tidak tertulis  meskipun kasusnya merupakan kasus wanita melahirkan</t>
  </si>
  <si>
    <t xml:space="preserve">diagnosis utama sudah sesuai karena keluhan utama nya preeklampsia dengan komplikasi dm 2 dan komorbid obesitas  </t>
  </si>
</sst>
</file>

<file path=xl/styles.xml><?xml version="1.0" encoding="utf-8"?>
<styleSheet xmlns="http://schemas.openxmlformats.org/spreadsheetml/2006/main" xmlns:x14ac="http://schemas.microsoft.com/office/spreadsheetml/2009/9/ac" xmlns:mc="http://schemas.openxmlformats.org/markup-compatibility/2006">
  <fonts count="21">
    <font>
      <sz val="10.0"/>
      <color rgb="FF000000"/>
      <name val="Arial"/>
      <scheme val="minor"/>
    </font>
    <font>
      <sz val="40.0"/>
      <color theme="1"/>
      <name val="Arial"/>
    </font>
    <font>
      <sz val="14.0"/>
      <color rgb="FFFF0000"/>
      <name val="&quot;Aptos Black&quot;"/>
    </font>
    <font>
      <b/>
      <sz val="14.0"/>
      <color rgb="FF0F1115"/>
      <name val="Arial"/>
    </font>
    <font/>
    <font>
      <sz val="12.0"/>
      <color rgb="FF0F1115"/>
      <name val="Quote-cjk-patch"/>
    </font>
    <font>
      <sz val="12.0"/>
      <color rgb="FF0F1115"/>
      <name val="Arial"/>
    </font>
    <font>
      <b/>
      <sz val="10.0"/>
      <color rgb="FF0F1115"/>
      <name val="Arial"/>
    </font>
    <font>
      <sz val="10.0"/>
      <color rgb="FF000000"/>
      <name val="Arial"/>
    </font>
    <font>
      <b/>
      <sz val="12.0"/>
      <color rgb="FF0F1115"/>
      <name val="Quote-cjk-patch"/>
    </font>
    <font>
      <b/>
      <sz val="10.0"/>
      <color rgb="FF000000"/>
      <name val="Arial"/>
    </font>
    <font>
      <sz val="10.0"/>
      <color rgb="FFFF0000"/>
      <name val="Arial"/>
    </font>
    <font>
      <b/>
      <sz val="8.0"/>
      <color rgb="FF0F1115"/>
      <name val="Quote-cjk-patch"/>
    </font>
    <font>
      <b/>
      <sz val="10.0"/>
      <color rgb="FF0F1115"/>
      <name val="Quote-cjk-patch"/>
    </font>
    <font>
      <b/>
      <sz val="12.0"/>
      <color rgb="FF0F1115"/>
      <name val="Arial"/>
    </font>
    <font>
      <sz val="14.0"/>
      <color rgb="FF0F1115"/>
      <name val="Quote-cjk-patch"/>
    </font>
    <font>
      <b/>
      <sz val="13.0"/>
      <color rgb="FF000000"/>
      <name val="Arial"/>
    </font>
    <font>
      <b/>
      <sz val="12.0"/>
      <color rgb="FF0F1115"/>
      <name val="Century Gothic"/>
    </font>
    <font>
      <b/>
      <sz val="12.0"/>
      <color rgb="FF000000"/>
      <name val="Century Gothic"/>
    </font>
    <font>
      <b/>
      <sz val="11.0"/>
      <color rgb="FF0F1115"/>
      <name val="Quote-cjk-patch"/>
    </font>
    <font>
      <color theme="1"/>
      <name val="Arial"/>
      <scheme val="minor"/>
    </font>
  </fonts>
  <fills count="9">
    <fill>
      <patternFill patternType="none"/>
    </fill>
    <fill>
      <patternFill patternType="lightGray"/>
    </fill>
    <fill>
      <patternFill patternType="solid">
        <fgColor rgb="FFFFFF00"/>
        <bgColor rgb="FFFFFF00"/>
      </patternFill>
    </fill>
    <fill>
      <patternFill patternType="solid">
        <fgColor rgb="FFFFFFFF"/>
        <bgColor rgb="FFFFFFFF"/>
      </patternFill>
    </fill>
    <fill>
      <patternFill patternType="solid">
        <fgColor rgb="FFFFF2CC"/>
        <bgColor rgb="FFFFF2CC"/>
      </patternFill>
    </fill>
    <fill>
      <patternFill patternType="solid">
        <fgColor rgb="FFFCE5CD"/>
        <bgColor rgb="FFFCE5CD"/>
      </patternFill>
    </fill>
    <fill>
      <patternFill patternType="solid">
        <fgColor rgb="FFF4CCCC"/>
        <bgColor rgb="FFF4CCCC"/>
      </patternFill>
    </fill>
    <fill>
      <patternFill patternType="solid">
        <fgColor rgb="FFE5E5E5"/>
        <bgColor rgb="FFE5E5E5"/>
      </patternFill>
    </fill>
    <fill>
      <patternFill patternType="solid">
        <fgColor rgb="FFD9EAD3"/>
        <bgColor rgb="FFD9EAD3"/>
      </patternFill>
    </fill>
  </fills>
  <borders count="6">
    <border/>
    <border>
      <left/>
      <right/>
      <top/>
      <bottom/>
    </border>
    <border>
      <left/>
      <top/>
      <bottom/>
    </border>
    <border>
      <top/>
      <bottom/>
    </border>
    <border>
      <left style="thin">
        <color rgb="FF000000"/>
      </left>
      <right style="thin">
        <color rgb="FF000000"/>
      </right>
      <top style="thin">
        <color rgb="FF000000"/>
      </top>
      <bottom style="thin">
        <color rgb="FF000000"/>
      </bottom>
    </border>
    <border>
      <left/>
      <right/>
      <top/>
      <bottom style="thin">
        <color rgb="FF000000"/>
      </bottom>
    </border>
  </borders>
  <cellStyleXfs count="1">
    <xf borderId="0" fillId="0" fontId="0" numFmtId="0" applyAlignment="1" applyFont="1"/>
  </cellStyleXfs>
  <cellXfs count="93">
    <xf borderId="0" fillId="0" fontId="0" numFmtId="0" xfId="0" applyAlignment="1" applyFont="1">
      <alignment readingOrder="0" shrinkToFit="0" vertical="center" wrapText="0"/>
    </xf>
    <xf borderId="0" fillId="0" fontId="1" numFmtId="0" xfId="0" applyAlignment="1" applyFont="1">
      <alignment horizontal="center" readingOrder="0" vertical="center"/>
    </xf>
    <xf borderId="1" fillId="2" fontId="2" numFmtId="0" xfId="0" applyAlignment="1" applyBorder="1" applyFill="1" applyFont="1">
      <alignment vertical="center"/>
    </xf>
    <xf borderId="2" fillId="3" fontId="3" numFmtId="0" xfId="0" applyAlignment="1" applyBorder="1" applyFill="1" applyFont="1">
      <alignment horizontal="center" vertical="bottom"/>
    </xf>
    <xf borderId="3" fillId="0" fontId="4" numFmtId="0" xfId="0" applyAlignment="1" applyBorder="1" applyFont="1">
      <alignment vertical="center"/>
    </xf>
    <xf borderId="1" fillId="3" fontId="5" numFmtId="0" xfId="0" applyAlignment="1" applyBorder="1" applyFont="1">
      <alignment vertical="bottom"/>
    </xf>
    <xf borderId="2" fillId="3" fontId="6" numFmtId="0" xfId="0" applyAlignment="1" applyBorder="1" applyFont="1">
      <alignment shrinkToFit="0" vertical="bottom" wrapText="1"/>
    </xf>
    <xf borderId="1" fillId="3" fontId="7" numFmtId="0" xfId="0" applyAlignment="1" applyBorder="1" applyFont="1">
      <alignment vertical="bottom"/>
    </xf>
    <xf borderId="0" fillId="0" fontId="8" numFmtId="0" xfId="0" applyAlignment="1" applyFont="1">
      <alignment vertical="bottom"/>
    </xf>
    <xf borderId="4" fillId="3" fontId="9" numFmtId="0" xfId="0" applyAlignment="1" applyBorder="1" applyFont="1">
      <alignment horizontal="left" shrinkToFit="0" vertical="center" wrapText="1"/>
    </xf>
    <xf borderId="4" fillId="3" fontId="9" numFmtId="0" xfId="0" applyAlignment="1" applyBorder="1" applyFont="1">
      <alignment horizontal="center" shrinkToFit="0" vertical="center" wrapText="1"/>
    </xf>
    <xf borderId="4" fillId="0" fontId="10" numFmtId="0" xfId="0" applyAlignment="1" applyBorder="1" applyFont="1">
      <alignment vertical="bottom"/>
    </xf>
    <xf borderId="4" fillId="4" fontId="9" numFmtId="0" xfId="0" applyAlignment="1" applyBorder="1" applyFill="1" applyFont="1">
      <alignment shrinkToFit="0" vertical="center" wrapText="1"/>
    </xf>
    <xf borderId="4" fillId="4" fontId="9" numFmtId="0" xfId="0" applyAlignment="1" applyBorder="1" applyFont="1">
      <alignment horizontal="center" shrinkToFit="0" vertical="center" wrapText="1"/>
    </xf>
    <xf borderId="4" fillId="4" fontId="5" numFmtId="0" xfId="0" applyAlignment="1" applyBorder="1" applyFont="1">
      <alignment shrinkToFit="0" vertical="center" wrapText="1"/>
    </xf>
    <xf borderId="4" fillId="0" fontId="8" numFmtId="0" xfId="0" applyAlignment="1" applyBorder="1" applyFont="1">
      <alignment vertical="bottom"/>
    </xf>
    <xf borderId="4" fillId="4" fontId="6" numFmtId="0" xfId="0" applyAlignment="1" applyBorder="1" applyFont="1">
      <alignment horizontal="center" readingOrder="0" shrinkToFit="0" vertical="center" wrapText="1"/>
    </xf>
    <xf borderId="4" fillId="0" fontId="8" numFmtId="0" xfId="0" applyAlignment="1" applyBorder="1" applyFont="1">
      <alignment readingOrder="0" vertical="bottom"/>
    </xf>
    <xf borderId="4" fillId="5" fontId="9" numFmtId="0" xfId="0" applyAlignment="1" applyBorder="1" applyFill="1" applyFont="1">
      <alignment shrinkToFit="0" vertical="center" wrapText="1"/>
    </xf>
    <xf borderId="4" fillId="5" fontId="9" numFmtId="0" xfId="0" applyAlignment="1" applyBorder="1" applyFont="1">
      <alignment horizontal="center" shrinkToFit="0" vertical="center" wrapText="1"/>
    </xf>
    <xf borderId="4" fillId="5" fontId="5" numFmtId="0" xfId="0" applyAlignment="1" applyBorder="1" applyFont="1">
      <alignment shrinkToFit="0" vertical="center" wrapText="1"/>
    </xf>
    <xf borderId="4" fillId="5" fontId="6" numFmtId="0" xfId="0" applyAlignment="1" applyBorder="1" applyFont="1">
      <alignment horizontal="center" readingOrder="0" shrinkToFit="0" vertical="center" wrapText="1"/>
    </xf>
    <xf borderId="4" fillId="5" fontId="6" numFmtId="0" xfId="0" applyAlignment="1" applyBorder="1" applyFont="1">
      <alignment shrinkToFit="0" vertical="center" wrapText="1"/>
    </xf>
    <xf borderId="4" fillId="0" fontId="11" numFmtId="0" xfId="0" applyAlignment="1" applyBorder="1" applyFont="1">
      <alignment shrinkToFit="0" vertical="top" wrapText="1"/>
    </xf>
    <xf borderId="4" fillId="6" fontId="9" numFmtId="0" xfId="0" applyAlignment="1" applyBorder="1" applyFill="1" applyFont="1">
      <alignment shrinkToFit="0" vertical="center" wrapText="1"/>
    </xf>
    <xf borderId="4" fillId="6" fontId="9" numFmtId="0" xfId="0" applyAlignment="1" applyBorder="1" applyFont="1">
      <alignment horizontal="center" shrinkToFit="0" vertical="center" wrapText="1"/>
    </xf>
    <xf borderId="4" fillId="6" fontId="5" numFmtId="0" xfId="0" applyAlignment="1" applyBorder="1" applyFont="1">
      <alignment shrinkToFit="0" vertical="center" wrapText="1"/>
    </xf>
    <xf borderId="4" fillId="6" fontId="6" numFmtId="0" xfId="0" applyAlignment="1" applyBorder="1" applyFont="1">
      <alignment horizontal="center" readingOrder="0" shrinkToFit="0" vertical="center" wrapText="1"/>
    </xf>
    <xf borderId="4" fillId="6" fontId="6" numFmtId="0" xfId="0" applyAlignment="1" applyBorder="1" applyFont="1">
      <alignment shrinkToFit="0" vertical="center" wrapText="1"/>
    </xf>
    <xf borderId="4" fillId="0" fontId="11" numFmtId="0" xfId="0" applyAlignment="1" applyBorder="1" applyFont="1">
      <alignment shrinkToFit="0" vertical="bottom" wrapText="1"/>
    </xf>
    <xf borderId="5" fillId="7" fontId="5" numFmtId="0" xfId="0" applyAlignment="1" applyBorder="1" applyFill="1" applyFont="1">
      <alignment vertical="bottom"/>
    </xf>
    <xf borderId="5" fillId="7" fontId="5" numFmtId="0" xfId="0" applyAlignment="1" applyBorder="1" applyFont="1">
      <alignment horizontal="center" vertical="bottom"/>
    </xf>
    <xf borderId="1" fillId="3" fontId="12" numFmtId="0" xfId="0" applyAlignment="1" applyBorder="1" applyFont="1">
      <alignment vertical="bottom"/>
    </xf>
    <xf borderId="0" fillId="0" fontId="5" numFmtId="0" xfId="0" applyAlignment="1" applyFont="1">
      <alignment vertical="bottom"/>
    </xf>
    <xf borderId="1" fillId="3" fontId="13" numFmtId="0" xfId="0" applyAlignment="1" applyBorder="1" applyFont="1">
      <alignment vertical="bottom"/>
    </xf>
    <xf borderId="4" fillId="3" fontId="9" numFmtId="0" xfId="0" applyAlignment="1" applyBorder="1" applyFont="1">
      <alignment horizontal="left" vertical="bottom"/>
    </xf>
    <xf borderId="4" fillId="3" fontId="14" numFmtId="0" xfId="0" applyAlignment="1" applyBorder="1" applyFont="1">
      <alignment horizontal="center" vertical="bottom"/>
    </xf>
    <xf borderId="4" fillId="4" fontId="9" numFmtId="0" xfId="0" applyAlignment="1" applyBorder="1" applyFont="1">
      <alignment vertical="bottom"/>
    </xf>
    <xf borderId="4" fillId="4" fontId="9" numFmtId="0" xfId="0" applyAlignment="1" applyBorder="1" applyFont="1">
      <alignment vertical="center"/>
    </xf>
    <xf borderId="4" fillId="4" fontId="14" numFmtId="0" xfId="0" applyAlignment="1" applyBorder="1" applyFont="1">
      <alignment horizontal="center" vertical="bottom"/>
    </xf>
    <xf borderId="4" fillId="4" fontId="5" numFmtId="0" xfId="0" applyAlignment="1" applyBorder="1" applyFont="1">
      <alignment shrinkToFit="0" vertical="bottom" wrapText="1"/>
    </xf>
    <xf borderId="4" fillId="4" fontId="5" numFmtId="0" xfId="0" applyAlignment="1" applyBorder="1" applyFont="1">
      <alignment vertical="center"/>
    </xf>
    <xf borderId="4" fillId="4" fontId="6" numFmtId="0" xfId="0" applyAlignment="1" applyBorder="1" applyFont="1">
      <alignment horizontal="center" readingOrder="0" vertical="bottom"/>
    </xf>
    <xf borderId="4" fillId="5" fontId="9" numFmtId="0" xfId="0" applyAlignment="1" applyBorder="1" applyFont="1">
      <alignment vertical="bottom"/>
    </xf>
    <xf borderId="4" fillId="5" fontId="9" numFmtId="0" xfId="0" applyAlignment="1" applyBorder="1" applyFont="1">
      <alignment vertical="center"/>
    </xf>
    <xf borderId="4" fillId="5" fontId="14" numFmtId="0" xfId="0" applyAlignment="1" applyBorder="1" applyFont="1">
      <alignment horizontal="center" vertical="bottom"/>
    </xf>
    <xf borderId="4" fillId="5" fontId="5" numFmtId="0" xfId="0" applyAlignment="1" applyBorder="1" applyFont="1">
      <alignment shrinkToFit="0" vertical="bottom" wrapText="1"/>
    </xf>
    <xf borderId="4" fillId="5" fontId="5" numFmtId="0" xfId="0" applyAlignment="1" applyBorder="1" applyFont="1">
      <alignment vertical="bottom"/>
    </xf>
    <xf borderId="4" fillId="5" fontId="5" numFmtId="0" xfId="0" applyAlignment="1" applyBorder="1" applyFont="1">
      <alignment vertical="center"/>
    </xf>
    <xf borderId="4" fillId="5" fontId="6" numFmtId="0" xfId="0" applyAlignment="1" applyBorder="1" applyFont="1">
      <alignment horizontal="center" readingOrder="0" vertical="bottom"/>
    </xf>
    <xf borderId="4" fillId="5" fontId="6" numFmtId="0" xfId="0" applyAlignment="1" applyBorder="1" applyFont="1">
      <alignment horizontal="center" vertical="bottom"/>
    </xf>
    <xf borderId="4" fillId="5" fontId="6" numFmtId="0" xfId="0" applyAlignment="1" applyBorder="1" applyFont="1">
      <alignment shrinkToFit="0" vertical="bottom" wrapText="1"/>
    </xf>
    <xf borderId="4" fillId="6" fontId="9" numFmtId="0" xfId="0" applyAlignment="1" applyBorder="1" applyFont="1">
      <alignment vertical="bottom"/>
    </xf>
    <xf borderId="4" fillId="6" fontId="9" numFmtId="0" xfId="0" applyAlignment="1" applyBorder="1" applyFont="1">
      <alignment vertical="center"/>
    </xf>
    <xf borderId="4" fillId="6" fontId="9" numFmtId="0" xfId="0" applyAlignment="1" applyBorder="1" applyFont="1">
      <alignment horizontal="center" vertical="bottom"/>
    </xf>
    <xf borderId="4" fillId="6" fontId="5" numFmtId="0" xfId="0" applyAlignment="1" applyBorder="1" applyFont="1">
      <alignment shrinkToFit="0" vertical="bottom" wrapText="1"/>
    </xf>
    <xf borderId="4" fillId="6" fontId="5" numFmtId="0" xfId="0" applyAlignment="1" applyBorder="1" applyFont="1">
      <alignment vertical="bottom"/>
    </xf>
    <xf borderId="4" fillId="6" fontId="5" numFmtId="0" xfId="0" applyAlignment="1" applyBorder="1" applyFont="1">
      <alignment vertical="center"/>
    </xf>
    <xf borderId="4" fillId="6" fontId="6" numFmtId="0" xfId="0" applyAlignment="1" applyBorder="1" applyFont="1">
      <alignment horizontal="center" vertical="bottom"/>
    </xf>
    <xf borderId="4" fillId="6" fontId="6" numFmtId="0" xfId="0" applyAlignment="1" applyBorder="1" applyFont="1">
      <alignment horizontal="center" readingOrder="0" vertical="bottom"/>
    </xf>
    <xf borderId="4" fillId="0" fontId="11" numFmtId="0" xfId="0" applyAlignment="1" applyBorder="1" applyFont="1">
      <alignment vertical="bottom"/>
    </xf>
    <xf borderId="4" fillId="8" fontId="9" numFmtId="0" xfId="0" applyAlignment="1" applyBorder="1" applyFill="1" applyFont="1">
      <alignment vertical="bottom"/>
    </xf>
    <xf borderId="4" fillId="8" fontId="9" numFmtId="0" xfId="0" applyAlignment="1" applyBorder="1" applyFont="1">
      <alignment vertical="center"/>
    </xf>
    <xf borderId="4" fillId="8" fontId="9" numFmtId="0" xfId="0" applyAlignment="1" applyBorder="1" applyFont="1">
      <alignment horizontal="center" vertical="bottom"/>
    </xf>
    <xf borderId="4" fillId="8" fontId="5" numFmtId="0" xfId="0" applyAlignment="1" applyBorder="1" applyFont="1">
      <alignment shrinkToFit="0" vertical="bottom" wrapText="1"/>
    </xf>
    <xf borderId="4" fillId="8" fontId="5" numFmtId="0" xfId="0" applyAlignment="1" applyBorder="1" applyFont="1">
      <alignment vertical="bottom"/>
    </xf>
    <xf borderId="4" fillId="8" fontId="5" numFmtId="0" xfId="0" applyAlignment="1" applyBorder="1" applyFont="1">
      <alignment vertical="center"/>
    </xf>
    <xf borderId="4" fillId="8" fontId="6" numFmtId="0" xfId="0" applyAlignment="1" applyBorder="1" applyFont="1">
      <alignment horizontal="center" readingOrder="0" vertical="bottom"/>
    </xf>
    <xf borderId="5" fillId="7" fontId="9" numFmtId="0" xfId="0" applyAlignment="1" applyBorder="1" applyFont="1">
      <alignment horizontal="center" vertical="bottom"/>
    </xf>
    <xf borderId="1" fillId="3" fontId="15" numFmtId="0" xfId="0" applyAlignment="1" applyBorder="1" applyFont="1">
      <alignment vertical="bottom"/>
    </xf>
    <xf borderId="0" fillId="0" fontId="3" numFmtId="0" xfId="0" applyAlignment="1" applyFont="1">
      <alignment vertical="bottom"/>
    </xf>
    <xf borderId="0" fillId="0" fontId="16" numFmtId="0" xfId="0" applyAlignment="1" applyFont="1">
      <alignment vertical="bottom"/>
    </xf>
    <xf borderId="4" fillId="0" fontId="17" numFmtId="0" xfId="0" applyAlignment="1" applyBorder="1" applyFont="1">
      <alignment vertical="bottom"/>
    </xf>
    <xf borderId="4" fillId="0" fontId="18" numFmtId="0" xfId="0" applyAlignment="1" applyBorder="1" applyFont="1">
      <alignment vertical="bottom"/>
    </xf>
    <xf borderId="4" fillId="0" fontId="3" numFmtId="0" xfId="0" applyAlignment="1" applyBorder="1" applyFont="1">
      <alignment vertical="bottom"/>
    </xf>
    <xf borderId="4" fillId="0" fontId="16" numFmtId="0" xfId="0" applyAlignment="1" applyBorder="1" applyFont="1">
      <alignment vertical="bottom"/>
    </xf>
    <xf borderId="1" fillId="2" fontId="3" numFmtId="0" xfId="0" applyAlignment="1" applyBorder="1" applyFont="1">
      <alignment vertical="bottom"/>
    </xf>
    <xf borderId="1" fillId="2" fontId="8" numFmtId="0" xfId="0" applyAlignment="1" applyBorder="1" applyFont="1">
      <alignment vertical="bottom"/>
    </xf>
    <xf borderId="1" fillId="2" fontId="16" numFmtId="0" xfId="0" applyAlignment="1" applyBorder="1" applyFont="1">
      <alignment vertical="bottom"/>
    </xf>
    <xf borderId="1" fillId="3" fontId="19" numFmtId="0" xfId="0" applyAlignment="1" applyBorder="1" applyFont="1">
      <alignment vertical="bottom"/>
    </xf>
    <xf borderId="5" fillId="7" fontId="9" numFmtId="0" xfId="0" applyAlignment="1" applyBorder="1" applyFont="1">
      <alignment horizontal="left" vertical="bottom"/>
    </xf>
    <xf borderId="5" fillId="7" fontId="9" numFmtId="0" xfId="0" applyAlignment="1" applyBorder="1" applyFont="1">
      <alignment horizontal="left" shrinkToFit="0" vertical="bottom" wrapText="1"/>
    </xf>
    <xf borderId="5" fillId="7" fontId="6" numFmtId="0" xfId="0" applyAlignment="1" applyBorder="1" applyFont="1">
      <alignment vertical="bottom"/>
    </xf>
    <xf borderId="5" fillId="7" fontId="5" numFmtId="0" xfId="0" applyAlignment="1" applyBorder="1" applyFont="1">
      <alignment shrinkToFit="0" vertical="bottom" wrapText="1"/>
    </xf>
    <xf borderId="1" fillId="3" fontId="9" numFmtId="0" xfId="0" applyAlignment="1" applyBorder="1" applyFont="1">
      <alignment vertical="bottom"/>
    </xf>
    <xf borderId="4" fillId="0" fontId="11" numFmtId="0" xfId="0" applyAlignment="1" applyBorder="1" applyFont="1">
      <alignment readingOrder="0" shrinkToFit="0" vertical="top" wrapText="1"/>
    </xf>
    <xf borderId="4" fillId="5" fontId="6" numFmtId="0" xfId="0" applyAlignment="1" applyBorder="1" applyFont="1">
      <alignment horizontal="center" shrinkToFit="0" vertical="center" wrapText="1"/>
    </xf>
    <xf borderId="4" fillId="0" fontId="11" numFmtId="0" xfId="0" applyAlignment="1" applyBorder="1" applyFont="1">
      <alignment readingOrder="0" shrinkToFit="0" vertical="bottom" wrapText="1"/>
    </xf>
    <xf borderId="4" fillId="0" fontId="11" numFmtId="0" xfId="0" applyAlignment="1" applyBorder="1" applyFont="1">
      <alignment readingOrder="0" vertical="bottom"/>
    </xf>
    <xf borderId="4" fillId="0" fontId="3" numFmtId="0" xfId="0" applyAlignment="1" applyBorder="1" applyFont="1">
      <alignment readingOrder="0" vertical="bottom"/>
    </xf>
    <xf borderId="0" fillId="0" fontId="20" numFmtId="0" xfId="0" applyAlignment="1" applyFont="1">
      <alignment readingOrder="0" vertical="center"/>
    </xf>
    <xf borderId="4" fillId="4" fontId="6" numFmtId="0" xfId="0" applyAlignment="1" applyBorder="1" applyFont="1">
      <alignment horizontal="center" vertical="bottom"/>
    </xf>
    <xf borderId="4" fillId="8" fontId="6" numFmtId="0" xfId="0" applyAlignment="1" applyBorder="1" applyFont="1">
      <alignment horizontal="center"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ocumenttasks/documenttask3.xml><?xml version="1.0" encoding="utf-8"?>
<Tasks xmlns="http://schemas.microsoft.com/office/tasks/2019/documenttasks"/>
</file>

<file path=xl/documenttasks/documenttask4.xml><?xml version="1.0" encoding="utf-8"?>
<Tasks xmlns="http://schemas.microsoft.com/office/tasks/2019/documenttasks"/>
</file>

<file path=xl/documenttasks/documenttask5.xml><?xml version="1.0" encoding="utf-8"?>
<Tasks xmlns="http://schemas.microsoft.com/office/tasks/2019/documenttasks"/>
</file>

<file path=xl/documenttasks/documenttask6.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 id="{03ded0ea-b188-485b-bf94-1bc49507a75a}"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5-11-17T03:37:36.00" personId="{03ded0ea-b188-485b-bf94-1bc49507a75a}" id="{975881fc-cb62-484c-a4ab-c0915c108a63}" done="0">
    <x18tc:text xml:space="preserve">Isi Dengan Alasan merekomendasi Diagnosa/Tindakan tersebut disertai Bukti Dukung Hasil Analisis Kualitatif
	-Riki Permana Putra</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58" dT="2025-11-17T03:37:36.00" personId="{03ded0ea-b188-485b-bf94-1bc49507a75a}" id="{e7ea0e8d-fd51-43d9-a602-37057f89038e}" done="0">
    <x18tc:text xml:space="preserve">Isi Dengan Alasan merekomendasi Diagnosa/Tindakan tersebut disertai Bukti Dukung Hasil Analisis Kualitatif
	-Riki Permana Putra</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58" dT="2025-11-17T03:37:36.00" personId="{03ded0ea-b188-485b-bf94-1bc49507a75a}" id="{4bec27be-fefb-489e-964b-d8ab001eed2d}" done="0">
    <x18tc:text xml:space="preserve">Isi Dengan Alasan merekomendasi Diagnosa/Tindakan tersebut disertai Bukti Dukung Hasil Analisis Kualitatif
	-Riki Permana Putra</x18tc:text>
  </x18tc:threadedComment>
</x18tc:ThreadedComments>
</file>

<file path=xl/threadedComments/threadedComment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58" dT="2025-11-17T03:37:36.00" personId="{03ded0ea-b188-485b-bf94-1bc49507a75a}" id="{a6397c2f-bfbd-43d3-84d1-51dd6a3b12a9}" done="0">
    <x18tc:text xml:space="preserve">Isi Dengan Alasan merekomendasi Diagnosa/Tindakan tersebut disertai Bukti Dukung Hasil Analisis Kualitatif
	-Riki Permana Putra</x18tc:text>
  </x18tc:threadedComment>
</x18tc:ThreadedComments>
</file>

<file path=xl/threadedComments/threadedComment5.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58" dT="2025-11-17T03:37:36.00" personId="{03ded0ea-b188-485b-bf94-1bc49507a75a}" id="{57316afb-ec78-41dc-b185-1df1cc778b81}" done="0">
    <x18tc:text xml:space="preserve">Isi Dengan Alasan merekomendasi Diagnosa/Tindakan tersebut disertai Bukti Dukung Hasil Analisis Kualitatif
	-Riki Permana Putra</x18tc:text>
  </x18tc:threadedComment>
</x18tc:ThreadedComments>
</file>

<file path=xl/threadedComments/threadedComment6.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58" dT="2025-11-17T03:37:36.00" personId="{03ded0ea-b188-485b-bf94-1bc49507a75a}" id="{0466bd2f-bd66-4085-9e4e-9b17efddaf6e}" done="0">
    <x18tc:text xml:space="preserve">Isi Dengan Alasan merekomendasi Diagnosa/Tindakan tersebut disertai Bukti Dukung Hasil Analisis Kualitatif
	-Riki Permana Putra</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2.xml"/><Relationship Id="rId5"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drawing" Target="../drawings/drawing3.xml"/><Relationship Id="rId5"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microsoft.com/office/2017/10/relationships/threadedComment" Target="../threadedComments/threadedComment4.xml"/><Relationship Id="rId3" Type="http://schemas.microsoft.com/office/2019/04/relationships/documenttask" Target="../documenttasks/documenttask4.xml"/><Relationship Id="rId4" Type="http://schemas.openxmlformats.org/officeDocument/2006/relationships/drawing" Target="../drawings/drawing4.xml"/><Relationship Id="rId5"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comments" Target="../comments5.xml"/><Relationship Id="rId2" Type="http://schemas.microsoft.com/office/2017/10/relationships/threadedComment" Target="../threadedComments/threadedComment5.xml"/><Relationship Id="rId3" Type="http://schemas.microsoft.com/office/2019/04/relationships/documenttask" Target="../documenttasks/documenttask5.xml"/><Relationship Id="rId4" Type="http://schemas.openxmlformats.org/officeDocument/2006/relationships/drawing" Target="../drawings/drawing5.xml"/><Relationship Id="rId5"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1" Type="http://schemas.openxmlformats.org/officeDocument/2006/relationships/comments" Target="../comments6.xml"/><Relationship Id="rId2" Type="http://schemas.microsoft.com/office/2017/10/relationships/threadedComment" Target="../threadedComments/threadedComment6.xml"/><Relationship Id="rId3" Type="http://schemas.microsoft.com/office/2019/04/relationships/documenttask" Target="../documenttasks/documenttask6.xml"/><Relationship Id="rId4" Type="http://schemas.openxmlformats.org/officeDocument/2006/relationships/drawing" Target="../drawings/drawing6.xml"/><Relationship Id="rId5" Type="http://schemas.openxmlformats.org/officeDocument/2006/relationships/vmlDrawing" Target="../drawings/vmlDrawing6.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6" width="12.63"/>
  </cols>
  <sheetData>
    <row r="2">
      <c r="B2" s="1" t="s">
        <v>0</v>
      </c>
    </row>
    <row r="8">
      <c r="B8" s="2" t="s">
        <v>1</v>
      </c>
    </row>
    <row r="9">
      <c r="B9" s="2"/>
    </row>
    <row r="10">
      <c r="B10" s="2" t="s">
        <v>2</v>
      </c>
    </row>
    <row r="11">
      <c r="B11" s="2" t="s">
        <v>3</v>
      </c>
    </row>
    <row r="12">
      <c r="B12" s="2" t="s">
        <v>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2:F7"/>
  </mergeCells>
  <printOptions/>
  <pageMargins bottom="0.75" footer="0.0" header="0.0" left="0.7" right="0.7" top="0.75"/>
  <pageSetup orientation="landscape"/>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6.75"/>
    <col customWidth="1" min="2" max="2" width="51.13"/>
    <col customWidth="1" min="3" max="3" width="8.13"/>
    <col customWidth="1" min="4" max="4" width="67.88"/>
    <col customWidth="1" min="5" max="5" width="20.63"/>
    <col customWidth="1" min="6" max="6" width="56.13"/>
    <col customWidth="1" min="7" max="26" width="12.0"/>
  </cols>
  <sheetData>
    <row r="1">
      <c r="A1" s="3" t="s">
        <v>5</v>
      </c>
      <c r="B1" s="4"/>
      <c r="C1" s="4"/>
      <c r="D1" s="4"/>
      <c r="E1" s="4"/>
    </row>
    <row r="2">
      <c r="A2" s="5"/>
    </row>
    <row r="3">
      <c r="A3" s="6" t="s">
        <v>6</v>
      </c>
      <c r="B3" s="4"/>
      <c r="C3" s="4"/>
      <c r="D3" s="4"/>
      <c r="E3" s="4"/>
    </row>
    <row r="4">
      <c r="A4" s="7"/>
    </row>
    <row r="5">
      <c r="A5" s="7" t="s">
        <v>7</v>
      </c>
      <c r="C5" s="8"/>
    </row>
    <row r="6">
      <c r="A6" s="7" t="s">
        <v>8</v>
      </c>
      <c r="C6" s="8"/>
    </row>
    <row r="7">
      <c r="A7" s="7" t="s">
        <v>9</v>
      </c>
      <c r="C7" s="8"/>
    </row>
    <row r="8">
      <c r="A8" s="7" t="s">
        <v>10</v>
      </c>
      <c r="C8" s="8"/>
    </row>
    <row r="9">
      <c r="A9" s="7"/>
    </row>
    <row r="10">
      <c r="A10" s="7" t="s">
        <v>11</v>
      </c>
    </row>
    <row r="11">
      <c r="A11" s="5"/>
    </row>
    <row r="12">
      <c r="A12" s="5" t="s">
        <v>12</v>
      </c>
    </row>
    <row r="13">
      <c r="A13" s="5"/>
    </row>
    <row r="14">
      <c r="A14" s="9" t="s">
        <v>13</v>
      </c>
      <c r="B14" s="9" t="s">
        <v>14</v>
      </c>
      <c r="C14" s="10" t="s">
        <v>15</v>
      </c>
      <c r="D14" s="9" t="s">
        <v>16</v>
      </c>
      <c r="E14" s="11" t="s">
        <v>17</v>
      </c>
    </row>
    <row r="15">
      <c r="A15" s="12" t="s">
        <v>18</v>
      </c>
      <c r="B15" s="12" t="s">
        <v>19</v>
      </c>
      <c r="C15" s="13">
        <f>C16</f>
        <v>10</v>
      </c>
      <c r="D15" s="14"/>
      <c r="E15" s="15"/>
    </row>
    <row r="16">
      <c r="A16" s="14" t="s">
        <v>20</v>
      </c>
      <c r="B16" s="14" t="s">
        <v>21</v>
      </c>
      <c r="C16" s="16">
        <v>10.0</v>
      </c>
      <c r="D16" s="14" t="s">
        <v>22</v>
      </c>
      <c r="E16" s="17" t="s">
        <v>23</v>
      </c>
    </row>
    <row r="17">
      <c r="A17" s="18" t="s">
        <v>24</v>
      </c>
      <c r="B17" s="18" t="s">
        <v>25</v>
      </c>
      <c r="C17" s="19">
        <f>SUM(C18:C27)</f>
        <v>75</v>
      </c>
      <c r="D17" s="20"/>
      <c r="E17" s="15"/>
    </row>
    <row r="18">
      <c r="A18" s="20" t="s">
        <v>26</v>
      </c>
      <c r="B18" s="20" t="s">
        <v>27</v>
      </c>
      <c r="C18" s="21">
        <v>5.0</v>
      </c>
      <c r="D18" s="20" t="s">
        <v>28</v>
      </c>
      <c r="E18" s="15"/>
    </row>
    <row r="19">
      <c r="A19" s="20" t="s">
        <v>29</v>
      </c>
      <c r="B19" s="20" t="s">
        <v>30</v>
      </c>
      <c r="C19" s="21">
        <v>5.0</v>
      </c>
      <c r="D19" s="20" t="s">
        <v>31</v>
      </c>
      <c r="E19" s="15"/>
    </row>
    <row r="20">
      <c r="A20" s="20" t="s">
        <v>32</v>
      </c>
      <c r="B20" s="20" t="s">
        <v>33</v>
      </c>
      <c r="C20" s="21">
        <v>5.0</v>
      </c>
      <c r="D20" s="20" t="s">
        <v>34</v>
      </c>
      <c r="E20" s="17" t="s">
        <v>35</v>
      </c>
    </row>
    <row r="21" ht="15.75" customHeight="1">
      <c r="A21" s="20" t="s">
        <v>36</v>
      </c>
      <c r="B21" s="20" t="s">
        <v>37</v>
      </c>
      <c r="C21" s="21">
        <v>15.0</v>
      </c>
      <c r="D21" s="22" t="s">
        <v>38</v>
      </c>
      <c r="E21" s="15"/>
    </row>
    <row r="22" ht="15.75" customHeight="1">
      <c r="A22" s="20" t="s">
        <v>39</v>
      </c>
      <c r="B22" s="20" t="s">
        <v>40</v>
      </c>
      <c r="C22" s="21">
        <v>15.0</v>
      </c>
      <c r="D22" s="20" t="s">
        <v>41</v>
      </c>
      <c r="E22" s="23"/>
    </row>
    <row r="23" ht="15.75" customHeight="1">
      <c r="A23" s="20" t="s">
        <v>42</v>
      </c>
      <c r="B23" s="20" t="s">
        <v>43</v>
      </c>
      <c r="C23" s="21">
        <v>5.0</v>
      </c>
      <c r="D23" s="20" t="s">
        <v>44</v>
      </c>
      <c r="E23" s="15"/>
    </row>
    <row r="24" ht="15.75" customHeight="1">
      <c r="A24" s="20" t="s">
        <v>45</v>
      </c>
      <c r="B24" s="20" t="s">
        <v>46</v>
      </c>
      <c r="C24" s="21">
        <v>5.0</v>
      </c>
      <c r="D24" s="20" t="s">
        <v>47</v>
      </c>
      <c r="E24" s="15"/>
    </row>
    <row r="25" ht="15.75" customHeight="1">
      <c r="A25" s="20" t="s">
        <v>48</v>
      </c>
      <c r="B25" s="20" t="s">
        <v>49</v>
      </c>
      <c r="C25" s="21">
        <v>5.0</v>
      </c>
      <c r="D25" s="20" t="s">
        <v>50</v>
      </c>
      <c r="E25" s="15"/>
    </row>
    <row r="26" ht="15.75" customHeight="1">
      <c r="A26" s="20" t="s">
        <v>51</v>
      </c>
      <c r="B26" s="20" t="s">
        <v>52</v>
      </c>
      <c r="C26" s="21">
        <v>10.0</v>
      </c>
      <c r="D26" s="20" t="s">
        <v>53</v>
      </c>
      <c r="E26" s="15"/>
    </row>
    <row r="27" ht="15.75" customHeight="1">
      <c r="A27" s="20" t="s">
        <v>54</v>
      </c>
      <c r="B27" s="20" t="s">
        <v>55</v>
      </c>
      <c r="C27" s="21">
        <v>5.0</v>
      </c>
      <c r="D27" s="20" t="s">
        <v>56</v>
      </c>
      <c r="E27" s="15"/>
    </row>
    <row r="28" ht="15.75" customHeight="1">
      <c r="A28" s="24" t="s">
        <v>57</v>
      </c>
      <c r="B28" s="24" t="s">
        <v>58</v>
      </c>
      <c r="C28" s="25">
        <f>SUM(C29:C31)</f>
        <v>0</v>
      </c>
      <c r="D28" s="26"/>
      <c r="E28" s="15"/>
    </row>
    <row r="29" ht="15.75" customHeight="1">
      <c r="A29" s="26" t="s">
        <v>59</v>
      </c>
      <c r="B29" s="26" t="s">
        <v>60</v>
      </c>
      <c r="C29" s="27" t="s">
        <v>61</v>
      </c>
      <c r="D29" s="28" t="s">
        <v>62</v>
      </c>
      <c r="E29" s="29"/>
    </row>
    <row r="30" ht="15.75" customHeight="1">
      <c r="A30" s="26" t="s">
        <v>63</v>
      </c>
      <c r="B30" s="26" t="s">
        <v>64</v>
      </c>
      <c r="C30" s="27" t="s">
        <v>61</v>
      </c>
      <c r="D30" s="28" t="s">
        <v>65</v>
      </c>
      <c r="E30" s="15"/>
    </row>
    <row r="31" ht="15.75" customHeight="1">
      <c r="A31" s="26" t="s">
        <v>66</v>
      </c>
      <c r="B31" s="26" t="s">
        <v>67</v>
      </c>
      <c r="C31" s="27" t="s">
        <v>61</v>
      </c>
      <c r="D31" s="28" t="s">
        <v>68</v>
      </c>
      <c r="E31" s="15"/>
    </row>
    <row r="32" ht="15.75" customHeight="1">
      <c r="A32" s="30"/>
      <c r="B32" s="30" t="s">
        <v>69</v>
      </c>
      <c r="C32" s="31">
        <f>C28+C17+C15</f>
        <v>85</v>
      </c>
      <c r="D32" s="30"/>
      <c r="E32" s="15"/>
    </row>
    <row r="33" ht="15.75" customHeight="1">
      <c r="A33" s="5"/>
    </row>
    <row r="34" ht="15.75" customHeight="1">
      <c r="A34" s="32" t="s">
        <v>70</v>
      </c>
    </row>
    <row r="35" ht="15.75" customHeight="1">
      <c r="A35" s="33"/>
    </row>
    <row r="36" ht="15.75" customHeight="1">
      <c r="A36" s="34" t="s">
        <v>71</v>
      </c>
    </row>
    <row r="37" ht="15.75" customHeight="1">
      <c r="A37" s="5"/>
    </row>
    <row r="38" ht="15.75" customHeight="1">
      <c r="A38" s="5" t="s">
        <v>12</v>
      </c>
    </row>
    <row r="39" ht="15.75" customHeight="1">
      <c r="A39" s="5"/>
    </row>
    <row r="40" ht="15.75" customHeight="1">
      <c r="A40" s="35" t="s">
        <v>13</v>
      </c>
      <c r="B40" s="35" t="s">
        <v>72</v>
      </c>
      <c r="C40" s="36" t="s">
        <v>15</v>
      </c>
      <c r="D40" s="35" t="s">
        <v>16</v>
      </c>
      <c r="E40" s="11" t="s">
        <v>17</v>
      </c>
    </row>
    <row r="41" ht="15.75" customHeight="1">
      <c r="A41" s="37" t="s">
        <v>18</v>
      </c>
      <c r="B41" s="38" t="s">
        <v>73</v>
      </c>
      <c r="C41" s="39">
        <f>SUM(C42:C44)</f>
        <v>25</v>
      </c>
      <c r="D41" s="40"/>
      <c r="E41" s="15"/>
    </row>
    <row r="42" ht="15.75" customHeight="1">
      <c r="A42" s="41" t="s">
        <v>20</v>
      </c>
      <c r="B42" s="41" t="s">
        <v>74</v>
      </c>
      <c r="C42" s="42">
        <v>15.0</v>
      </c>
      <c r="D42" s="40" t="s">
        <v>75</v>
      </c>
      <c r="E42" s="17" t="s">
        <v>76</v>
      </c>
    </row>
    <row r="43" ht="15.75" customHeight="1">
      <c r="A43" s="41" t="s">
        <v>77</v>
      </c>
      <c r="B43" s="41" t="s">
        <v>78</v>
      </c>
      <c r="C43" s="42">
        <v>5.0</v>
      </c>
      <c r="D43" s="40" t="s">
        <v>79</v>
      </c>
      <c r="E43" s="17" t="s">
        <v>80</v>
      </c>
    </row>
    <row r="44" ht="15.75" customHeight="1">
      <c r="A44" s="41" t="s">
        <v>81</v>
      </c>
      <c r="B44" s="41" t="s">
        <v>82</v>
      </c>
      <c r="C44" s="42">
        <v>5.0</v>
      </c>
      <c r="D44" s="40" t="s">
        <v>83</v>
      </c>
      <c r="E44" s="17" t="s">
        <v>84</v>
      </c>
    </row>
    <row r="45" ht="15.75" customHeight="1">
      <c r="A45" s="43" t="s">
        <v>24</v>
      </c>
      <c r="B45" s="44" t="s">
        <v>85</v>
      </c>
      <c r="C45" s="45">
        <f>SUM(C46:C47)</f>
        <v>10</v>
      </c>
      <c r="D45" s="46"/>
      <c r="E45" s="15"/>
    </row>
    <row r="46" ht="15.75" customHeight="1">
      <c r="A46" s="47" t="s">
        <v>26</v>
      </c>
      <c r="B46" s="48" t="s">
        <v>86</v>
      </c>
      <c r="C46" s="49">
        <v>10.0</v>
      </c>
      <c r="D46" s="46" t="s">
        <v>87</v>
      </c>
      <c r="E46" s="15"/>
    </row>
    <row r="47" ht="15.75" customHeight="1">
      <c r="A47" s="47" t="s">
        <v>29</v>
      </c>
      <c r="B47" s="20" t="s">
        <v>88</v>
      </c>
      <c r="C47" s="50"/>
      <c r="D47" s="51" t="s">
        <v>89</v>
      </c>
      <c r="E47" s="23"/>
    </row>
    <row r="48" ht="15.75" customHeight="1">
      <c r="A48" s="52" t="s">
        <v>57</v>
      </c>
      <c r="B48" s="53" t="s">
        <v>90</v>
      </c>
      <c r="C48" s="54">
        <f>C49+C50+C51</f>
        <v>15</v>
      </c>
      <c r="D48" s="55"/>
      <c r="E48" s="15"/>
    </row>
    <row r="49" ht="15.75" customHeight="1">
      <c r="A49" s="56" t="s">
        <v>59</v>
      </c>
      <c r="B49" s="57" t="s">
        <v>91</v>
      </c>
      <c r="C49" s="58"/>
      <c r="D49" s="55" t="s">
        <v>92</v>
      </c>
      <c r="E49" s="15"/>
    </row>
    <row r="50" ht="15.75" customHeight="1">
      <c r="A50" s="56" t="s">
        <v>63</v>
      </c>
      <c r="B50" s="57" t="s">
        <v>93</v>
      </c>
      <c r="C50" s="59">
        <v>10.0</v>
      </c>
      <c r="D50" s="55" t="s">
        <v>94</v>
      </c>
      <c r="E50" s="60"/>
    </row>
    <row r="51" ht="15.75" customHeight="1">
      <c r="A51" s="56" t="s">
        <v>66</v>
      </c>
      <c r="B51" s="57" t="s">
        <v>95</v>
      </c>
      <c r="C51" s="59">
        <v>5.0</v>
      </c>
      <c r="D51" s="55" t="s">
        <v>96</v>
      </c>
      <c r="E51" s="15"/>
    </row>
    <row r="52" ht="15.75" customHeight="1">
      <c r="A52" s="61" t="s">
        <v>97</v>
      </c>
      <c r="B52" s="62" t="s">
        <v>98</v>
      </c>
      <c r="C52" s="63">
        <f>C53</f>
        <v>10</v>
      </c>
      <c r="D52" s="64"/>
      <c r="E52" s="15"/>
    </row>
    <row r="53" ht="15.75" customHeight="1">
      <c r="A53" s="65" t="s">
        <v>99</v>
      </c>
      <c r="B53" s="66" t="s">
        <v>100</v>
      </c>
      <c r="C53" s="67">
        <v>10.0</v>
      </c>
      <c r="D53" s="64" t="s">
        <v>101</v>
      </c>
      <c r="E53" s="15"/>
    </row>
    <row r="54" ht="15.75" customHeight="1">
      <c r="A54" s="30"/>
      <c r="B54" s="30" t="s">
        <v>102</v>
      </c>
      <c r="C54" s="68">
        <f>C52+C48+C45+C41</f>
        <v>60</v>
      </c>
      <c r="D54" s="30"/>
      <c r="E54" s="15"/>
    </row>
    <row r="55" ht="15.75" customHeight="1">
      <c r="A55" s="69"/>
    </row>
    <row r="56" ht="15.75" customHeight="1">
      <c r="A56" s="70" t="s">
        <v>103</v>
      </c>
      <c r="D56" s="71"/>
    </row>
    <row r="57" ht="15.75" customHeight="1">
      <c r="A57" s="70"/>
      <c r="D57" s="71"/>
    </row>
    <row r="58" ht="15.75" customHeight="1">
      <c r="A58" s="72" t="s">
        <v>104</v>
      </c>
      <c r="B58" s="73" t="s">
        <v>105</v>
      </c>
      <c r="C58" s="73"/>
      <c r="D58" s="73" t="s">
        <v>106</v>
      </c>
    </row>
    <row r="59" ht="15.75" customHeight="1">
      <c r="A59" s="74"/>
      <c r="B59" s="15"/>
      <c r="C59" s="15"/>
      <c r="D59" s="75"/>
    </row>
    <row r="60" ht="15.75" customHeight="1">
      <c r="A60" s="74"/>
      <c r="B60" s="15"/>
      <c r="C60" s="15"/>
      <c r="D60" s="75"/>
    </row>
    <row r="61" ht="15.75" customHeight="1">
      <c r="A61" s="74"/>
      <c r="B61" s="15"/>
      <c r="C61" s="15"/>
      <c r="D61" s="75"/>
    </row>
    <row r="62" ht="15.75" customHeight="1">
      <c r="A62" s="74"/>
      <c r="B62" s="15"/>
      <c r="C62" s="15"/>
      <c r="D62" s="75"/>
    </row>
    <row r="63" ht="15.75" customHeight="1">
      <c r="A63" s="74"/>
      <c r="B63" s="15"/>
      <c r="C63" s="15"/>
      <c r="D63" s="75"/>
    </row>
    <row r="64" ht="15.75" customHeight="1">
      <c r="A64" s="74"/>
      <c r="B64" s="15"/>
      <c r="C64" s="15"/>
      <c r="D64" s="75"/>
    </row>
    <row r="65" ht="15.75" customHeight="1">
      <c r="A65" s="74"/>
      <c r="B65" s="15"/>
      <c r="C65" s="15"/>
      <c r="D65" s="75"/>
    </row>
    <row r="66" ht="15.75" customHeight="1">
      <c r="A66" s="74"/>
      <c r="B66" s="15"/>
      <c r="C66" s="15"/>
      <c r="D66" s="75"/>
    </row>
    <row r="67" ht="15.75" customHeight="1">
      <c r="A67" s="74"/>
      <c r="B67" s="15"/>
      <c r="C67" s="15"/>
      <c r="D67" s="75"/>
    </row>
    <row r="68" ht="15.75" customHeight="1">
      <c r="A68" s="74"/>
      <c r="B68" s="15"/>
      <c r="C68" s="15"/>
      <c r="D68" s="75"/>
    </row>
    <row r="69" ht="15.75" customHeight="1">
      <c r="A69" s="70"/>
      <c r="D69" s="71"/>
    </row>
    <row r="70" ht="15.75" customHeight="1">
      <c r="A70" s="70"/>
      <c r="D70" s="71"/>
    </row>
    <row r="71" ht="15.75" customHeight="1">
      <c r="A71" s="70"/>
      <c r="D71" s="71"/>
    </row>
    <row r="72" ht="15.75" customHeight="1">
      <c r="A72" s="76" t="s">
        <v>107</v>
      </c>
      <c r="B72" s="77"/>
      <c r="C72" s="77"/>
      <c r="D72" s="78" t="str">
        <f>IF(AND(C32&gt;80,C54&gt;80),"Layak Klaim",IF(AND(C32&gt;=60,C32&lt;=80,C54&gt;80),"Perlu Koreksi",IF(AND(C32&gt;=60,C32&lt;=80,C54&gt;=60,C54&lt;=80),"Perlu Koreksi",IF(AND(C32&gt;80,C54&gt;=60,C54&lt;=80),"Perlu Koreksi","Tidak Layak"))))</f>
        <v>Perlu Koreksi</v>
      </c>
      <c r="E72" s="77"/>
      <c r="F72" s="77"/>
      <c r="G72" s="77"/>
      <c r="H72" s="77"/>
      <c r="I72" s="77"/>
      <c r="J72" s="77"/>
      <c r="K72" s="77"/>
      <c r="L72" s="77"/>
      <c r="M72" s="77"/>
      <c r="N72" s="77"/>
      <c r="O72" s="77"/>
      <c r="P72" s="77"/>
      <c r="Q72" s="77"/>
      <c r="R72" s="77"/>
      <c r="S72" s="77"/>
      <c r="T72" s="77"/>
      <c r="U72" s="77"/>
      <c r="V72" s="77"/>
      <c r="W72" s="77"/>
      <c r="X72" s="77"/>
      <c r="Y72" s="77"/>
      <c r="Z72" s="77"/>
    </row>
    <row r="73" ht="15.75" customHeight="1">
      <c r="A73" s="79"/>
    </row>
    <row r="74" ht="15.75" customHeight="1">
      <c r="A74" s="79" t="s">
        <v>108</v>
      </c>
    </row>
    <row r="75" ht="15.75" customHeight="1">
      <c r="B75" s="80" t="s">
        <v>109</v>
      </c>
      <c r="D75" s="81" t="s">
        <v>110</v>
      </c>
      <c r="E75" s="81" t="s">
        <v>111</v>
      </c>
      <c r="F75" s="80" t="s">
        <v>112</v>
      </c>
    </row>
    <row r="76" ht="15.75" customHeight="1">
      <c r="B76" s="82" t="s">
        <v>113</v>
      </c>
      <c r="D76" s="30" t="s">
        <v>114</v>
      </c>
      <c r="E76" s="30" t="s">
        <v>114</v>
      </c>
      <c r="F76" s="83" t="s">
        <v>115</v>
      </c>
    </row>
    <row r="77" ht="15.75" customHeight="1">
      <c r="B77" s="30" t="s">
        <v>116</v>
      </c>
      <c r="D77" s="30" t="s">
        <v>117</v>
      </c>
      <c r="E77" s="30" t="s">
        <v>117</v>
      </c>
      <c r="F77" s="83" t="s">
        <v>118</v>
      </c>
    </row>
    <row r="78" ht="15.75" customHeight="1">
      <c r="B78" s="30" t="s">
        <v>119</v>
      </c>
      <c r="D78" s="30" t="s">
        <v>120</v>
      </c>
      <c r="E78" s="30" t="s">
        <v>120</v>
      </c>
      <c r="F78" s="83" t="s">
        <v>121</v>
      </c>
    </row>
    <row r="79" ht="15.75" customHeight="1">
      <c r="A79" s="5"/>
    </row>
    <row r="80" ht="15.75" customHeight="1">
      <c r="A80" s="84" t="s">
        <v>122</v>
      </c>
    </row>
    <row r="81" ht="15.75" customHeight="1">
      <c r="A81" s="5" t="s">
        <v>123</v>
      </c>
    </row>
    <row r="82" ht="15.75" customHeight="1">
      <c r="A82" s="5" t="s">
        <v>124</v>
      </c>
    </row>
    <row r="83" ht="15.75" customHeight="1">
      <c r="A83" s="5" t="s">
        <v>125</v>
      </c>
    </row>
    <row r="84" ht="15.75" customHeight="1">
      <c r="A84" s="5" t="s">
        <v>126</v>
      </c>
    </row>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E1"/>
    <mergeCell ref="A3:E3"/>
  </mergeCells>
  <printOptions/>
  <pageMargins bottom="0.75" footer="0.0" header="0.0" left="0.7" right="0.7" top="0.75"/>
  <pageSetup orientation="landscape"/>
  <drawing r:id="rId4"/>
  <legacy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6.75"/>
    <col customWidth="1" min="2" max="2" width="51.13"/>
    <col customWidth="1" min="3" max="3" width="8.13"/>
    <col customWidth="1" min="4" max="4" width="67.88"/>
    <col customWidth="1" min="5" max="5" width="20.63"/>
    <col customWidth="1" min="6" max="6" width="56.13"/>
    <col customWidth="1" min="7" max="26" width="12.0"/>
  </cols>
  <sheetData>
    <row r="1">
      <c r="A1" s="3" t="s">
        <v>5</v>
      </c>
      <c r="B1" s="4"/>
      <c r="C1" s="4"/>
      <c r="D1" s="4"/>
      <c r="E1" s="4"/>
    </row>
    <row r="2">
      <c r="A2" s="5"/>
    </row>
    <row r="3">
      <c r="A3" s="6" t="s">
        <v>127</v>
      </c>
      <c r="B3" s="4"/>
      <c r="C3" s="4"/>
      <c r="D3" s="4"/>
      <c r="E3" s="4"/>
    </row>
    <row r="4">
      <c r="A4" s="7"/>
    </row>
    <row r="5">
      <c r="A5" s="7" t="s">
        <v>7</v>
      </c>
      <c r="C5" s="8"/>
    </row>
    <row r="6">
      <c r="A6" s="7" t="s">
        <v>8</v>
      </c>
      <c r="C6" s="8"/>
    </row>
    <row r="7">
      <c r="A7" s="7" t="s">
        <v>9</v>
      </c>
      <c r="C7" s="8"/>
    </row>
    <row r="8">
      <c r="A8" s="7" t="s">
        <v>10</v>
      </c>
      <c r="C8" s="8"/>
    </row>
    <row r="9">
      <c r="A9" s="7"/>
    </row>
    <row r="10">
      <c r="A10" s="7" t="s">
        <v>11</v>
      </c>
    </row>
    <row r="11">
      <c r="A11" s="5"/>
    </row>
    <row r="12">
      <c r="A12" s="5" t="s">
        <v>12</v>
      </c>
    </row>
    <row r="13">
      <c r="A13" s="5"/>
    </row>
    <row r="14">
      <c r="A14" s="9" t="s">
        <v>13</v>
      </c>
      <c r="B14" s="9" t="s">
        <v>14</v>
      </c>
      <c r="C14" s="10" t="s">
        <v>15</v>
      </c>
      <c r="D14" s="9" t="s">
        <v>16</v>
      </c>
      <c r="E14" s="11" t="s">
        <v>17</v>
      </c>
    </row>
    <row r="15">
      <c r="A15" s="12" t="s">
        <v>18</v>
      </c>
      <c r="B15" s="12" t="s">
        <v>19</v>
      </c>
      <c r="C15" s="13">
        <f>C16</f>
        <v>10</v>
      </c>
      <c r="D15" s="14"/>
      <c r="E15" s="15"/>
    </row>
    <row r="16">
      <c r="A16" s="14" t="s">
        <v>20</v>
      </c>
      <c r="B16" s="14" t="s">
        <v>21</v>
      </c>
      <c r="C16" s="16">
        <v>10.0</v>
      </c>
      <c r="D16" s="14" t="s">
        <v>22</v>
      </c>
      <c r="E16" s="17"/>
    </row>
    <row r="17">
      <c r="A17" s="18" t="s">
        <v>24</v>
      </c>
      <c r="B17" s="18" t="s">
        <v>25</v>
      </c>
      <c r="C17" s="19">
        <f>SUM(C18:C27)</f>
        <v>55</v>
      </c>
      <c r="D17" s="20"/>
      <c r="E17" s="15"/>
    </row>
    <row r="18">
      <c r="A18" s="20" t="s">
        <v>26</v>
      </c>
      <c r="B18" s="20" t="s">
        <v>27</v>
      </c>
      <c r="C18" s="21">
        <v>5.0</v>
      </c>
      <c r="D18" s="20" t="s">
        <v>28</v>
      </c>
      <c r="E18" s="17"/>
    </row>
    <row r="19">
      <c r="A19" s="20" t="s">
        <v>29</v>
      </c>
      <c r="B19" s="20" t="s">
        <v>30</v>
      </c>
      <c r="C19" s="21">
        <v>5.0</v>
      </c>
      <c r="D19" s="20" t="s">
        <v>31</v>
      </c>
      <c r="E19" s="17"/>
    </row>
    <row r="20">
      <c r="A20" s="20" t="s">
        <v>32</v>
      </c>
      <c r="B20" s="20" t="s">
        <v>33</v>
      </c>
      <c r="C20" s="21">
        <v>0.0</v>
      </c>
      <c r="D20" s="20" t="s">
        <v>34</v>
      </c>
      <c r="E20" s="17"/>
    </row>
    <row r="21" ht="15.75" customHeight="1">
      <c r="A21" s="20" t="s">
        <v>36</v>
      </c>
      <c r="B21" s="20" t="s">
        <v>37</v>
      </c>
      <c r="C21" s="21">
        <v>10.0</v>
      </c>
      <c r="D21" s="22" t="s">
        <v>38</v>
      </c>
      <c r="E21" s="17"/>
    </row>
    <row r="22" ht="15.75" customHeight="1">
      <c r="A22" s="20" t="s">
        <v>39</v>
      </c>
      <c r="B22" s="20" t="s">
        <v>40</v>
      </c>
      <c r="C22" s="21">
        <v>15.0</v>
      </c>
      <c r="D22" s="20" t="s">
        <v>41</v>
      </c>
      <c r="E22" s="85"/>
    </row>
    <row r="23" ht="15.75" customHeight="1">
      <c r="A23" s="20" t="s">
        <v>42</v>
      </c>
      <c r="B23" s="20" t="s">
        <v>43</v>
      </c>
      <c r="C23" s="21">
        <v>0.0</v>
      </c>
      <c r="D23" s="20" t="s">
        <v>44</v>
      </c>
      <c r="E23" s="17"/>
    </row>
    <row r="24" ht="15.75" customHeight="1">
      <c r="A24" s="20" t="s">
        <v>45</v>
      </c>
      <c r="B24" s="20" t="s">
        <v>46</v>
      </c>
      <c r="C24" s="21">
        <v>5.0</v>
      </c>
      <c r="D24" s="20" t="s">
        <v>47</v>
      </c>
      <c r="E24" s="17"/>
    </row>
    <row r="25" ht="15.75" customHeight="1">
      <c r="A25" s="20" t="s">
        <v>48</v>
      </c>
      <c r="B25" s="20" t="s">
        <v>49</v>
      </c>
      <c r="C25" s="21">
        <v>5.0</v>
      </c>
      <c r="D25" s="20" t="s">
        <v>50</v>
      </c>
      <c r="E25" s="17"/>
    </row>
    <row r="26" ht="15.75" customHeight="1">
      <c r="A26" s="20" t="s">
        <v>51</v>
      </c>
      <c r="B26" s="20" t="s">
        <v>52</v>
      </c>
      <c r="C26" s="21">
        <v>10.0</v>
      </c>
      <c r="D26" s="20" t="s">
        <v>53</v>
      </c>
      <c r="E26" s="17"/>
    </row>
    <row r="27" ht="15.75" customHeight="1">
      <c r="A27" s="20" t="s">
        <v>54</v>
      </c>
      <c r="B27" s="20" t="s">
        <v>55</v>
      </c>
      <c r="C27" s="86"/>
      <c r="D27" s="20" t="s">
        <v>56</v>
      </c>
      <c r="E27" s="17"/>
    </row>
    <row r="28" ht="15.75" customHeight="1">
      <c r="A28" s="24" t="s">
        <v>57</v>
      </c>
      <c r="B28" s="24" t="s">
        <v>58</v>
      </c>
      <c r="C28" s="25">
        <f>SUM(C29:C31)</f>
        <v>5</v>
      </c>
      <c r="D28" s="26"/>
      <c r="E28" s="15"/>
    </row>
    <row r="29" ht="15.75" customHeight="1">
      <c r="A29" s="26" t="s">
        <v>59</v>
      </c>
      <c r="B29" s="26" t="s">
        <v>60</v>
      </c>
      <c r="C29" s="27" t="s">
        <v>61</v>
      </c>
      <c r="D29" s="28" t="s">
        <v>62</v>
      </c>
      <c r="E29" s="87"/>
    </row>
    <row r="30" ht="15.75" customHeight="1">
      <c r="A30" s="26" t="s">
        <v>63</v>
      </c>
      <c r="B30" s="26" t="s">
        <v>64</v>
      </c>
      <c r="C30" s="27">
        <v>5.0</v>
      </c>
      <c r="D30" s="28" t="s">
        <v>65</v>
      </c>
      <c r="E30" s="17"/>
    </row>
    <row r="31" ht="15.75" customHeight="1">
      <c r="A31" s="26" t="s">
        <v>66</v>
      </c>
      <c r="B31" s="26" t="s">
        <v>67</v>
      </c>
      <c r="C31" s="27" t="s">
        <v>61</v>
      </c>
      <c r="D31" s="28" t="s">
        <v>68</v>
      </c>
      <c r="E31" s="17"/>
    </row>
    <row r="32" ht="15.75" customHeight="1">
      <c r="A32" s="30"/>
      <c r="B32" s="30" t="s">
        <v>69</v>
      </c>
      <c r="C32" s="31">
        <f>C28+C17+C15</f>
        <v>70</v>
      </c>
      <c r="D32" s="30"/>
      <c r="E32" s="15"/>
    </row>
    <row r="33" ht="15.75" customHeight="1">
      <c r="A33" s="5"/>
    </row>
    <row r="34" ht="15.75" customHeight="1">
      <c r="A34" s="32" t="s">
        <v>70</v>
      </c>
    </row>
    <row r="35" ht="15.75" customHeight="1">
      <c r="A35" s="33"/>
    </row>
    <row r="36" ht="15.75" customHeight="1">
      <c r="A36" s="34" t="s">
        <v>71</v>
      </c>
    </row>
    <row r="37" ht="15.75" customHeight="1">
      <c r="A37" s="5"/>
    </row>
    <row r="38" ht="15.75" customHeight="1">
      <c r="A38" s="5" t="s">
        <v>12</v>
      </c>
    </row>
    <row r="39" ht="15.75" customHeight="1">
      <c r="A39" s="5"/>
    </row>
    <row r="40" ht="15.75" customHeight="1">
      <c r="A40" s="35" t="s">
        <v>13</v>
      </c>
      <c r="B40" s="35" t="s">
        <v>72</v>
      </c>
      <c r="C40" s="36" t="s">
        <v>15</v>
      </c>
      <c r="D40" s="35" t="s">
        <v>16</v>
      </c>
      <c r="E40" s="11" t="s">
        <v>17</v>
      </c>
    </row>
    <row r="41" ht="15.75" customHeight="1">
      <c r="A41" s="37" t="s">
        <v>18</v>
      </c>
      <c r="B41" s="38" t="s">
        <v>73</v>
      </c>
      <c r="C41" s="39">
        <f>SUM(C42:C44)</f>
        <v>30</v>
      </c>
      <c r="D41" s="40"/>
      <c r="E41" s="15"/>
    </row>
    <row r="42" ht="15.75" customHeight="1">
      <c r="A42" s="41" t="s">
        <v>20</v>
      </c>
      <c r="B42" s="41" t="s">
        <v>74</v>
      </c>
      <c r="C42" s="42">
        <v>15.0</v>
      </c>
      <c r="D42" s="40" t="s">
        <v>75</v>
      </c>
      <c r="E42" s="17"/>
    </row>
    <row r="43" ht="15.75" customHeight="1">
      <c r="A43" s="41" t="s">
        <v>77</v>
      </c>
      <c r="B43" s="41" t="s">
        <v>78</v>
      </c>
      <c r="C43" s="42">
        <v>10.0</v>
      </c>
      <c r="D43" s="40" t="s">
        <v>79</v>
      </c>
      <c r="E43" s="17"/>
    </row>
    <row r="44" ht="15.75" customHeight="1">
      <c r="A44" s="41" t="s">
        <v>81</v>
      </c>
      <c r="B44" s="41" t="s">
        <v>82</v>
      </c>
      <c r="C44" s="42">
        <v>5.0</v>
      </c>
      <c r="D44" s="40" t="s">
        <v>83</v>
      </c>
      <c r="E44" s="17"/>
    </row>
    <row r="45" ht="15.75" customHeight="1">
      <c r="A45" s="43" t="s">
        <v>24</v>
      </c>
      <c r="B45" s="44" t="s">
        <v>85</v>
      </c>
      <c r="C45" s="45">
        <f>SUM(C46:C47)</f>
        <v>20</v>
      </c>
      <c r="D45" s="46"/>
      <c r="E45" s="15"/>
    </row>
    <row r="46" ht="15.75" customHeight="1">
      <c r="A46" s="47" t="s">
        <v>26</v>
      </c>
      <c r="B46" s="48" t="s">
        <v>86</v>
      </c>
      <c r="C46" s="49">
        <v>20.0</v>
      </c>
      <c r="D46" s="46" t="s">
        <v>87</v>
      </c>
      <c r="E46" s="17"/>
    </row>
    <row r="47" ht="15.75" customHeight="1">
      <c r="A47" s="47" t="s">
        <v>29</v>
      </c>
      <c r="B47" s="20" t="s">
        <v>88</v>
      </c>
      <c r="C47" s="50"/>
      <c r="D47" s="51" t="s">
        <v>89</v>
      </c>
      <c r="E47" s="85"/>
    </row>
    <row r="48" ht="15.75" customHeight="1">
      <c r="A48" s="52" t="s">
        <v>57</v>
      </c>
      <c r="B48" s="53" t="s">
        <v>90</v>
      </c>
      <c r="C48" s="54">
        <f>C49+C50+C51</f>
        <v>15</v>
      </c>
      <c r="D48" s="55"/>
      <c r="E48" s="15"/>
    </row>
    <row r="49" ht="15.75" customHeight="1">
      <c r="A49" s="56" t="s">
        <v>59</v>
      </c>
      <c r="B49" s="57" t="s">
        <v>91</v>
      </c>
      <c r="C49" s="59">
        <v>10.0</v>
      </c>
      <c r="D49" s="55" t="s">
        <v>92</v>
      </c>
      <c r="E49" s="17"/>
    </row>
    <row r="50" ht="15.75" customHeight="1">
      <c r="A50" s="56" t="s">
        <v>63</v>
      </c>
      <c r="B50" s="57" t="s">
        <v>93</v>
      </c>
      <c r="C50" s="58"/>
      <c r="D50" s="55" t="s">
        <v>94</v>
      </c>
      <c r="E50" s="88"/>
    </row>
    <row r="51" ht="15.75" customHeight="1">
      <c r="A51" s="56" t="s">
        <v>66</v>
      </c>
      <c r="B51" s="57" t="s">
        <v>95</v>
      </c>
      <c r="C51" s="59">
        <v>5.0</v>
      </c>
      <c r="D51" s="55" t="s">
        <v>96</v>
      </c>
      <c r="E51" s="17"/>
    </row>
    <row r="52" ht="15.75" customHeight="1">
      <c r="A52" s="61" t="s">
        <v>97</v>
      </c>
      <c r="B52" s="62" t="s">
        <v>98</v>
      </c>
      <c r="C52" s="63">
        <f>C53</f>
        <v>15</v>
      </c>
      <c r="D52" s="64"/>
      <c r="E52" s="15"/>
    </row>
    <row r="53" ht="15.75" customHeight="1">
      <c r="A53" s="65" t="s">
        <v>99</v>
      </c>
      <c r="B53" s="66" t="s">
        <v>100</v>
      </c>
      <c r="C53" s="67">
        <v>15.0</v>
      </c>
      <c r="D53" s="64" t="s">
        <v>101</v>
      </c>
      <c r="E53" s="17"/>
    </row>
    <row r="54" ht="15.75" customHeight="1">
      <c r="A54" s="30"/>
      <c r="B54" s="30" t="s">
        <v>102</v>
      </c>
      <c r="C54" s="68">
        <f>C52+C48+C45+C41</f>
        <v>80</v>
      </c>
      <c r="D54" s="30"/>
      <c r="E54" s="15"/>
    </row>
    <row r="55" ht="15.75" customHeight="1">
      <c r="A55" s="69"/>
    </row>
    <row r="56" ht="15.75" customHeight="1">
      <c r="A56" s="70" t="s">
        <v>103</v>
      </c>
      <c r="D56" s="71"/>
    </row>
    <row r="57" ht="15.75" customHeight="1">
      <c r="A57" s="70"/>
      <c r="D57" s="71"/>
    </row>
    <row r="58" ht="15.75" customHeight="1">
      <c r="A58" s="72" t="s">
        <v>104</v>
      </c>
      <c r="B58" s="73" t="s">
        <v>105</v>
      </c>
      <c r="C58" s="73"/>
      <c r="D58" s="73" t="s">
        <v>106</v>
      </c>
    </row>
    <row r="59" ht="15.75" customHeight="1">
      <c r="A59" s="74"/>
      <c r="B59" s="15"/>
      <c r="C59" s="15"/>
      <c r="D59" s="75"/>
    </row>
    <row r="60" ht="15.75" customHeight="1">
      <c r="A60" s="74"/>
      <c r="B60" s="15"/>
      <c r="C60" s="15"/>
      <c r="D60" s="75"/>
    </row>
    <row r="61" ht="15.75" customHeight="1">
      <c r="A61" s="74"/>
      <c r="B61" s="15"/>
      <c r="C61" s="15"/>
      <c r="D61" s="75"/>
    </row>
    <row r="62" ht="15.75" customHeight="1">
      <c r="A62" s="74"/>
      <c r="B62" s="15"/>
      <c r="C62" s="15"/>
      <c r="D62" s="75"/>
    </row>
    <row r="63" ht="15.75" customHeight="1">
      <c r="A63" s="74"/>
      <c r="B63" s="15"/>
      <c r="C63" s="15"/>
      <c r="D63" s="75"/>
    </row>
    <row r="64" ht="15.75" customHeight="1">
      <c r="A64" s="74"/>
      <c r="B64" s="15"/>
      <c r="C64" s="15"/>
      <c r="D64" s="75"/>
    </row>
    <row r="65" ht="15.75" customHeight="1">
      <c r="A65" s="74"/>
      <c r="B65" s="15"/>
      <c r="C65" s="15"/>
      <c r="D65" s="75"/>
    </row>
    <row r="66" ht="15.75" customHeight="1">
      <c r="A66" s="74"/>
      <c r="B66" s="15"/>
      <c r="C66" s="15"/>
      <c r="D66" s="75"/>
    </row>
    <row r="67" ht="15.75" customHeight="1">
      <c r="A67" s="74"/>
      <c r="B67" s="15"/>
      <c r="C67" s="15"/>
      <c r="D67" s="75"/>
    </row>
    <row r="68" ht="15.75" customHeight="1">
      <c r="A68" s="74"/>
      <c r="B68" s="15"/>
      <c r="C68" s="15"/>
      <c r="D68" s="75"/>
    </row>
    <row r="69" ht="15.75" customHeight="1">
      <c r="A69" s="70"/>
      <c r="D69" s="71"/>
    </row>
    <row r="70" ht="15.75" customHeight="1">
      <c r="A70" s="70"/>
      <c r="D70" s="71"/>
    </row>
    <row r="71" ht="15.75" customHeight="1">
      <c r="A71" s="70"/>
      <c r="D71" s="71"/>
    </row>
    <row r="72" ht="15.75" customHeight="1">
      <c r="A72" s="76" t="s">
        <v>107</v>
      </c>
      <c r="B72" s="77"/>
      <c r="C72" s="77"/>
      <c r="D72" s="78" t="str">
        <f>IF(AND(C32&gt;80,C54&gt;80),"Layak Klaim",IF(AND(C32&gt;=60,C32&lt;=80,C54&gt;80),"Perlu Koreksi",IF(AND(C32&gt;=60,C32&lt;=80,C54&gt;=60,C54&lt;=80),"Perlu Koreksi",IF(AND(C32&gt;80,C54&gt;=60,C54&lt;=80),"Perlu Koreksi","Tidak Layak"))))</f>
        <v>Perlu Koreksi</v>
      </c>
      <c r="E72" s="77"/>
      <c r="F72" s="77"/>
      <c r="G72" s="77"/>
      <c r="H72" s="77"/>
      <c r="I72" s="77"/>
      <c r="J72" s="77"/>
      <c r="K72" s="77"/>
      <c r="L72" s="77"/>
      <c r="M72" s="77"/>
      <c r="N72" s="77"/>
      <c r="O72" s="77"/>
      <c r="P72" s="77"/>
      <c r="Q72" s="77"/>
      <c r="R72" s="77"/>
      <c r="S72" s="77"/>
      <c r="T72" s="77"/>
      <c r="U72" s="77"/>
      <c r="V72" s="77"/>
      <c r="W72" s="77"/>
      <c r="X72" s="77"/>
      <c r="Y72" s="77"/>
      <c r="Z72" s="77"/>
    </row>
    <row r="73" ht="15.75" customHeight="1">
      <c r="A73" s="79"/>
    </row>
    <row r="74" ht="15.75" customHeight="1">
      <c r="A74" s="79" t="s">
        <v>108</v>
      </c>
    </row>
    <row r="75" ht="15.75" customHeight="1">
      <c r="B75" s="80" t="s">
        <v>109</v>
      </c>
      <c r="D75" s="81" t="s">
        <v>110</v>
      </c>
      <c r="E75" s="81" t="s">
        <v>111</v>
      </c>
      <c r="F75" s="80" t="s">
        <v>112</v>
      </c>
    </row>
    <row r="76" ht="15.75" customHeight="1">
      <c r="B76" s="82" t="s">
        <v>113</v>
      </c>
      <c r="D76" s="30" t="s">
        <v>114</v>
      </c>
      <c r="E76" s="30" t="s">
        <v>114</v>
      </c>
      <c r="F76" s="83" t="s">
        <v>115</v>
      </c>
    </row>
    <row r="77" ht="15.75" customHeight="1">
      <c r="B77" s="30" t="s">
        <v>116</v>
      </c>
      <c r="D77" s="30" t="s">
        <v>117</v>
      </c>
      <c r="E77" s="30" t="s">
        <v>117</v>
      </c>
      <c r="F77" s="83" t="s">
        <v>118</v>
      </c>
    </row>
    <row r="78" ht="15.75" customHeight="1">
      <c r="B78" s="30" t="s">
        <v>119</v>
      </c>
      <c r="D78" s="30" t="s">
        <v>120</v>
      </c>
      <c r="E78" s="30" t="s">
        <v>120</v>
      </c>
      <c r="F78" s="83" t="s">
        <v>121</v>
      </c>
    </row>
    <row r="79" ht="15.75" customHeight="1">
      <c r="A79" s="5"/>
    </row>
    <row r="80" ht="15.75" customHeight="1">
      <c r="A80" s="84" t="s">
        <v>122</v>
      </c>
    </row>
    <row r="81" ht="15.75" customHeight="1">
      <c r="A81" s="5" t="s">
        <v>123</v>
      </c>
    </row>
    <row r="82" ht="15.75" customHeight="1">
      <c r="A82" s="5" t="s">
        <v>124</v>
      </c>
    </row>
    <row r="83" ht="15.75" customHeight="1">
      <c r="A83" s="5" t="s">
        <v>125</v>
      </c>
    </row>
    <row r="84" ht="15.75" customHeight="1">
      <c r="A84" s="5" t="s">
        <v>126</v>
      </c>
    </row>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E1"/>
    <mergeCell ref="A3:E3"/>
  </mergeCells>
  <printOptions/>
  <pageMargins bottom="0.75" footer="0.0" header="0.0" left="0.7" right="0.7" top="0.75"/>
  <pageSetup orientation="landscape"/>
  <drawing r:id="rId4"/>
  <legacyDrawing r:id="rId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6.75"/>
    <col customWidth="1" min="2" max="2" width="51.13"/>
    <col customWidth="1" min="3" max="3" width="8.13"/>
    <col customWidth="1" min="4" max="4" width="67.88"/>
    <col customWidth="1" min="5" max="5" width="20.63"/>
    <col customWidth="1" min="6" max="6" width="56.13"/>
    <col customWidth="1" min="7" max="26" width="12.0"/>
  </cols>
  <sheetData>
    <row r="1">
      <c r="A1" s="3" t="s">
        <v>5</v>
      </c>
      <c r="B1" s="4"/>
      <c r="C1" s="4"/>
      <c r="D1" s="4"/>
      <c r="E1" s="4"/>
    </row>
    <row r="2">
      <c r="A2" s="5"/>
    </row>
    <row r="3">
      <c r="A3" s="6" t="s">
        <v>128</v>
      </c>
      <c r="B3" s="4"/>
      <c r="C3" s="4"/>
      <c r="D3" s="4"/>
      <c r="E3" s="4"/>
    </row>
    <row r="4">
      <c r="A4" s="7"/>
    </row>
    <row r="5">
      <c r="A5" s="7" t="s">
        <v>7</v>
      </c>
      <c r="C5" s="8"/>
    </row>
    <row r="6">
      <c r="A6" s="7" t="s">
        <v>8</v>
      </c>
      <c r="C6" s="8"/>
    </row>
    <row r="7">
      <c r="A7" s="7" t="s">
        <v>9</v>
      </c>
      <c r="C7" s="8"/>
    </row>
    <row r="8">
      <c r="A8" s="7" t="s">
        <v>10</v>
      </c>
      <c r="C8" s="8"/>
    </row>
    <row r="9">
      <c r="A9" s="7"/>
    </row>
    <row r="10">
      <c r="A10" s="7" t="s">
        <v>11</v>
      </c>
    </row>
    <row r="11">
      <c r="A11" s="5"/>
    </row>
    <row r="12">
      <c r="A12" s="5" t="s">
        <v>12</v>
      </c>
    </row>
    <row r="13">
      <c r="A13" s="5"/>
    </row>
    <row r="14">
      <c r="A14" s="9" t="s">
        <v>13</v>
      </c>
      <c r="B14" s="9" t="s">
        <v>14</v>
      </c>
      <c r="C14" s="10" t="s">
        <v>15</v>
      </c>
      <c r="D14" s="9" t="s">
        <v>16</v>
      </c>
      <c r="E14" s="11" t="s">
        <v>17</v>
      </c>
    </row>
    <row r="15">
      <c r="A15" s="12" t="s">
        <v>18</v>
      </c>
      <c r="B15" s="12" t="s">
        <v>19</v>
      </c>
      <c r="C15" s="13">
        <f>C16</f>
        <v>10</v>
      </c>
      <c r="D15" s="14"/>
      <c r="E15" s="15"/>
    </row>
    <row r="16">
      <c r="A16" s="14" t="s">
        <v>20</v>
      </c>
      <c r="B16" s="14" t="s">
        <v>21</v>
      </c>
      <c r="C16" s="16">
        <v>10.0</v>
      </c>
      <c r="D16" s="14" t="s">
        <v>22</v>
      </c>
      <c r="E16" s="17"/>
    </row>
    <row r="17">
      <c r="A17" s="18" t="s">
        <v>24</v>
      </c>
      <c r="B17" s="18" t="s">
        <v>25</v>
      </c>
      <c r="C17" s="19">
        <f>SUM(C18:C27)</f>
        <v>58</v>
      </c>
      <c r="D17" s="20"/>
      <c r="E17" s="15"/>
    </row>
    <row r="18">
      <c r="A18" s="20" t="s">
        <v>26</v>
      </c>
      <c r="B18" s="20" t="s">
        <v>27</v>
      </c>
      <c r="C18" s="21">
        <v>3.0</v>
      </c>
      <c r="D18" s="20" t="s">
        <v>28</v>
      </c>
      <c r="E18" s="17" t="s">
        <v>129</v>
      </c>
    </row>
    <row r="19">
      <c r="A19" s="20" t="s">
        <v>29</v>
      </c>
      <c r="B19" s="20" t="s">
        <v>30</v>
      </c>
      <c r="C19" s="21">
        <v>5.0</v>
      </c>
      <c r="D19" s="20" t="s">
        <v>31</v>
      </c>
      <c r="E19" s="17"/>
    </row>
    <row r="20">
      <c r="A20" s="20" t="s">
        <v>32</v>
      </c>
      <c r="B20" s="20" t="s">
        <v>33</v>
      </c>
      <c r="C20" s="21">
        <v>5.0</v>
      </c>
      <c r="D20" s="20" t="s">
        <v>34</v>
      </c>
      <c r="E20" s="17"/>
    </row>
    <row r="21" ht="15.75" customHeight="1">
      <c r="A21" s="20" t="s">
        <v>36</v>
      </c>
      <c r="B21" s="20" t="s">
        <v>37</v>
      </c>
      <c r="C21" s="21">
        <v>15.0</v>
      </c>
      <c r="D21" s="22" t="s">
        <v>38</v>
      </c>
      <c r="E21" s="17"/>
    </row>
    <row r="22" ht="15.75" customHeight="1">
      <c r="A22" s="20" t="s">
        <v>39</v>
      </c>
      <c r="B22" s="20" t="s">
        <v>40</v>
      </c>
      <c r="C22" s="21">
        <v>10.0</v>
      </c>
      <c r="D22" s="20" t="s">
        <v>41</v>
      </c>
      <c r="E22" s="85"/>
    </row>
    <row r="23" ht="15.75" customHeight="1">
      <c r="A23" s="20" t="s">
        <v>42</v>
      </c>
      <c r="B23" s="20" t="s">
        <v>43</v>
      </c>
      <c r="C23" s="21">
        <v>5.0</v>
      </c>
      <c r="D23" s="20" t="s">
        <v>44</v>
      </c>
      <c r="E23" s="17"/>
    </row>
    <row r="24" ht="15.75" customHeight="1">
      <c r="A24" s="20" t="s">
        <v>45</v>
      </c>
      <c r="B24" s="20" t="s">
        <v>46</v>
      </c>
      <c r="C24" s="21">
        <v>5.0</v>
      </c>
      <c r="D24" s="20" t="s">
        <v>47</v>
      </c>
      <c r="E24" s="17"/>
    </row>
    <row r="25" ht="15.75" customHeight="1">
      <c r="A25" s="20" t="s">
        <v>48</v>
      </c>
      <c r="B25" s="20" t="s">
        <v>49</v>
      </c>
      <c r="C25" s="21">
        <v>5.0</v>
      </c>
      <c r="D25" s="20" t="s">
        <v>50</v>
      </c>
      <c r="E25" s="17"/>
    </row>
    <row r="26" ht="15.75" customHeight="1">
      <c r="A26" s="20" t="s">
        <v>51</v>
      </c>
      <c r="B26" s="20" t="s">
        <v>52</v>
      </c>
      <c r="C26" s="21">
        <v>0.0</v>
      </c>
      <c r="D26" s="20" t="s">
        <v>53</v>
      </c>
      <c r="E26" s="17"/>
    </row>
    <row r="27" ht="15.75" customHeight="1">
      <c r="A27" s="20" t="s">
        <v>54</v>
      </c>
      <c r="B27" s="20" t="s">
        <v>55</v>
      </c>
      <c r="C27" s="21">
        <v>5.0</v>
      </c>
      <c r="D27" s="20" t="s">
        <v>56</v>
      </c>
      <c r="E27" s="15"/>
    </row>
    <row r="28" ht="15.75" customHeight="1">
      <c r="A28" s="24" t="s">
        <v>57</v>
      </c>
      <c r="B28" s="24" t="s">
        <v>58</v>
      </c>
      <c r="C28" s="25">
        <f>SUM(C29:C31)</f>
        <v>5</v>
      </c>
      <c r="D28" s="26"/>
      <c r="E28" s="15"/>
    </row>
    <row r="29" ht="15.75" customHeight="1">
      <c r="A29" s="26" t="s">
        <v>59</v>
      </c>
      <c r="B29" s="26" t="s">
        <v>60</v>
      </c>
      <c r="C29" s="27">
        <v>0.0</v>
      </c>
      <c r="D29" s="28" t="s">
        <v>62</v>
      </c>
      <c r="E29" s="29"/>
    </row>
    <row r="30" ht="15.75" customHeight="1">
      <c r="A30" s="26" t="s">
        <v>63</v>
      </c>
      <c r="B30" s="26" t="s">
        <v>64</v>
      </c>
      <c r="C30" s="27">
        <v>5.0</v>
      </c>
      <c r="D30" s="28" t="s">
        <v>65</v>
      </c>
      <c r="E30" s="15"/>
    </row>
    <row r="31" ht="15.75" customHeight="1">
      <c r="A31" s="26" t="s">
        <v>66</v>
      </c>
      <c r="B31" s="26" t="s">
        <v>67</v>
      </c>
      <c r="C31" s="27">
        <v>0.0</v>
      </c>
      <c r="D31" s="28" t="s">
        <v>68</v>
      </c>
      <c r="E31" s="15"/>
    </row>
    <row r="32" ht="15.75" customHeight="1">
      <c r="A32" s="30"/>
      <c r="B32" s="30" t="s">
        <v>69</v>
      </c>
      <c r="C32" s="31">
        <f>C28+C17+C15</f>
        <v>73</v>
      </c>
      <c r="D32" s="30"/>
      <c r="E32" s="15"/>
    </row>
    <row r="33" ht="15.75" customHeight="1">
      <c r="A33" s="5"/>
    </row>
    <row r="34" ht="15.75" customHeight="1">
      <c r="A34" s="32" t="s">
        <v>70</v>
      </c>
    </row>
    <row r="35" ht="15.75" customHeight="1">
      <c r="A35" s="33"/>
    </row>
    <row r="36" ht="15.75" customHeight="1">
      <c r="A36" s="34" t="s">
        <v>71</v>
      </c>
    </row>
    <row r="37" ht="15.75" customHeight="1">
      <c r="A37" s="5"/>
    </row>
    <row r="38" ht="15.75" customHeight="1">
      <c r="A38" s="5" t="s">
        <v>12</v>
      </c>
    </row>
    <row r="39" ht="15.75" customHeight="1">
      <c r="A39" s="5"/>
    </row>
    <row r="40" ht="15.75" customHeight="1">
      <c r="A40" s="35" t="s">
        <v>13</v>
      </c>
      <c r="B40" s="35" t="s">
        <v>72</v>
      </c>
      <c r="C40" s="36" t="s">
        <v>15</v>
      </c>
      <c r="D40" s="35" t="s">
        <v>16</v>
      </c>
      <c r="E40" s="11" t="s">
        <v>17</v>
      </c>
    </row>
    <row r="41" ht="15.75" customHeight="1">
      <c r="A41" s="37" t="s">
        <v>18</v>
      </c>
      <c r="B41" s="38" t="s">
        <v>73</v>
      </c>
      <c r="C41" s="39">
        <f>SUM(C42:C44)</f>
        <v>30</v>
      </c>
      <c r="D41" s="40"/>
      <c r="E41" s="15"/>
    </row>
    <row r="42" ht="15.75" customHeight="1">
      <c r="A42" s="41" t="s">
        <v>20</v>
      </c>
      <c r="B42" s="41" t="s">
        <v>74</v>
      </c>
      <c r="C42" s="42">
        <v>15.0</v>
      </c>
      <c r="D42" s="40" t="s">
        <v>75</v>
      </c>
      <c r="E42" s="15"/>
    </row>
    <row r="43" ht="15.75" customHeight="1">
      <c r="A43" s="41" t="s">
        <v>77</v>
      </c>
      <c r="B43" s="41" t="s">
        <v>78</v>
      </c>
      <c r="C43" s="42">
        <v>10.0</v>
      </c>
      <c r="D43" s="40" t="s">
        <v>79</v>
      </c>
      <c r="E43" s="15"/>
    </row>
    <row r="44" ht="15.75" customHeight="1">
      <c r="A44" s="41" t="s">
        <v>81</v>
      </c>
      <c r="B44" s="41" t="s">
        <v>82</v>
      </c>
      <c r="C44" s="42">
        <v>5.0</v>
      </c>
      <c r="D44" s="40" t="s">
        <v>83</v>
      </c>
      <c r="E44" s="15"/>
    </row>
    <row r="45" ht="15.75" customHeight="1">
      <c r="A45" s="43" t="s">
        <v>24</v>
      </c>
      <c r="B45" s="44" t="s">
        <v>85</v>
      </c>
      <c r="C45" s="45">
        <f>SUM(C46:C47)</f>
        <v>30</v>
      </c>
      <c r="D45" s="46"/>
      <c r="E45" s="15"/>
    </row>
    <row r="46" ht="15.75" customHeight="1">
      <c r="A46" s="47" t="s">
        <v>26</v>
      </c>
      <c r="B46" s="48" t="s">
        <v>86</v>
      </c>
      <c r="C46" s="49">
        <v>10.0</v>
      </c>
      <c r="D46" s="46" t="s">
        <v>87</v>
      </c>
      <c r="E46" s="15"/>
    </row>
    <row r="47" ht="15.75" customHeight="1">
      <c r="A47" s="47" t="s">
        <v>29</v>
      </c>
      <c r="B47" s="20" t="s">
        <v>88</v>
      </c>
      <c r="C47" s="49">
        <v>20.0</v>
      </c>
      <c r="D47" s="51" t="s">
        <v>89</v>
      </c>
      <c r="E47" s="23"/>
    </row>
    <row r="48" ht="15.75" customHeight="1">
      <c r="A48" s="52" t="s">
        <v>57</v>
      </c>
      <c r="B48" s="53" t="s">
        <v>90</v>
      </c>
      <c r="C48" s="54">
        <f>C49+C50+C51</f>
        <v>25</v>
      </c>
      <c r="D48" s="55"/>
      <c r="E48" s="15"/>
    </row>
    <row r="49" ht="15.75" customHeight="1">
      <c r="A49" s="56" t="s">
        <v>59</v>
      </c>
      <c r="B49" s="57" t="s">
        <v>91</v>
      </c>
      <c r="C49" s="59">
        <v>10.0</v>
      </c>
      <c r="D49" s="55" t="s">
        <v>92</v>
      </c>
      <c r="E49" s="15"/>
    </row>
    <row r="50" ht="15.75" customHeight="1">
      <c r="A50" s="56" t="s">
        <v>63</v>
      </c>
      <c r="B50" s="57" t="s">
        <v>93</v>
      </c>
      <c r="C50" s="59">
        <v>10.0</v>
      </c>
      <c r="D50" s="55" t="s">
        <v>94</v>
      </c>
      <c r="E50" s="60"/>
    </row>
    <row r="51" ht="15.75" customHeight="1">
      <c r="A51" s="56" t="s">
        <v>66</v>
      </c>
      <c r="B51" s="57" t="s">
        <v>95</v>
      </c>
      <c r="C51" s="59">
        <v>5.0</v>
      </c>
      <c r="D51" s="55" t="s">
        <v>96</v>
      </c>
      <c r="E51" s="15"/>
    </row>
    <row r="52" ht="15.75" customHeight="1">
      <c r="A52" s="61" t="s">
        <v>97</v>
      </c>
      <c r="B52" s="62" t="s">
        <v>98</v>
      </c>
      <c r="C52" s="63">
        <f>C53</f>
        <v>15</v>
      </c>
      <c r="D52" s="64"/>
      <c r="E52" s="15"/>
    </row>
    <row r="53" ht="15.75" customHeight="1">
      <c r="A53" s="65" t="s">
        <v>99</v>
      </c>
      <c r="B53" s="66" t="s">
        <v>100</v>
      </c>
      <c r="C53" s="67">
        <v>15.0</v>
      </c>
      <c r="D53" s="64" t="s">
        <v>101</v>
      </c>
      <c r="E53" s="15"/>
    </row>
    <row r="54" ht="15.75" customHeight="1">
      <c r="A54" s="30"/>
      <c r="B54" s="30" t="s">
        <v>102</v>
      </c>
      <c r="C54" s="68">
        <f>C52+C48+C45+C41</f>
        <v>100</v>
      </c>
      <c r="D54" s="30"/>
      <c r="E54" s="15"/>
    </row>
    <row r="55" ht="15.75" customHeight="1">
      <c r="A55" s="69"/>
    </row>
    <row r="56" ht="15.75" customHeight="1">
      <c r="A56" s="70" t="s">
        <v>103</v>
      </c>
      <c r="D56" s="71"/>
    </row>
    <row r="57" ht="15.75" customHeight="1">
      <c r="A57" s="70"/>
      <c r="D57" s="71"/>
    </row>
    <row r="58" ht="15.75" customHeight="1">
      <c r="A58" s="72" t="s">
        <v>104</v>
      </c>
      <c r="B58" s="73" t="s">
        <v>105</v>
      </c>
      <c r="C58" s="73"/>
      <c r="D58" s="73" t="s">
        <v>106</v>
      </c>
    </row>
    <row r="59" ht="15.75" customHeight="1">
      <c r="A59" s="74"/>
      <c r="B59" s="15"/>
      <c r="C59" s="15"/>
      <c r="D59" s="75"/>
    </row>
    <row r="60" ht="15.75" customHeight="1">
      <c r="A60" s="74"/>
      <c r="B60" s="15"/>
      <c r="C60" s="15"/>
      <c r="D60" s="75"/>
    </row>
    <row r="61" ht="15.75" customHeight="1">
      <c r="A61" s="74"/>
      <c r="B61" s="15"/>
      <c r="C61" s="15"/>
      <c r="D61" s="75"/>
    </row>
    <row r="62" ht="15.75" customHeight="1">
      <c r="A62" s="74"/>
      <c r="B62" s="15"/>
      <c r="C62" s="15"/>
      <c r="D62" s="75"/>
    </row>
    <row r="63" ht="15.75" customHeight="1">
      <c r="A63" s="74"/>
      <c r="B63" s="15"/>
      <c r="C63" s="15"/>
      <c r="D63" s="75"/>
    </row>
    <row r="64" ht="15.75" customHeight="1">
      <c r="A64" s="74"/>
      <c r="B64" s="15"/>
      <c r="C64" s="15"/>
      <c r="D64" s="75"/>
    </row>
    <row r="65" ht="15.75" customHeight="1">
      <c r="A65" s="74"/>
      <c r="B65" s="15"/>
      <c r="C65" s="15"/>
      <c r="D65" s="75"/>
    </row>
    <row r="66" ht="15.75" customHeight="1">
      <c r="A66" s="74"/>
      <c r="B66" s="15"/>
      <c r="C66" s="15"/>
      <c r="D66" s="75"/>
    </row>
    <row r="67" ht="15.75" customHeight="1">
      <c r="A67" s="74"/>
      <c r="B67" s="15"/>
      <c r="C67" s="15"/>
      <c r="D67" s="75"/>
    </row>
    <row r="68" ht="15.75" customHeight="1">
      <c r="A68" s="74"/>
      <c r="B68" s="15"/>
      <c r="C68" s="15"/>
      <c r="D68" s="75"/>
    </row>
    <row r="69" ht="15.75" customHeight="1">
      <c r="A69" s="70"/>
      <c r="D69" s="71"/>
    </row>
    <row r="70" ht="15.75" customHeight="1">
      <c r="A70" s="70"/>
      <c r="D70" s="71"/>
    </row>
    <row r="71" ht="15.75" customHeight="1">
      <c r="A71" s="70"/>
      <c r="D71" s="71"/>
    </row>
    <row r="72" ht="15.75" customHeight="1">
      <c r="A72" s="76" t="s">
        <v>107</v>
      </c>
      <c r="B72" s="77"/>
      <c r="C72" s="77"/>
      <c r="D72" s="78" t="str">
        <f>IF(AND(C32&gt;80,C54&gt;80),"Layak Klaim",IF(AND(C32&gt;=60,C32&lt;=80,C54&gt;80),"Perlu Koreksi",IF(AND(C32&gt;=60,C32&lt;=80,C54&gt;=60,C54&lt;=80),"Perlu Koreksi",IF(AND(C32&gt;80,C54&gt;=60,C54&lt;=80),"Perlu Koreksi","Tidak Layak"))))</f>
        <v>Perlu Koreksi</v>
      </c>
      <c r="E72" s="77"/>
      <c r="F72" s="77"/>
      <c r="G72" s="77"/>
      <c r="H72" s="77"/>
      <c r="I72" s="77"/>
      <c r="J72" s="77"/>
      <c r="K72" s="77"/>
      <c r="L72" s="77"/>
      <c r="M72" s="77"/>
      <c r="N72" s="77"/>
      <c r="O72" s="77"/>
      <c r="P72" s="77"/>
      <c r="Q72" s="77"/>
      <c r="R72" s="77"/>
      <c r="S72" s="77"/>
      <c r="T72" s="77"/>
      <c r="U72" s="77"/>
      <c r="V72" s="77"/>
      <c r="W72" s="77"/>
      <c r="X72" s="77"/>
      <c r="Y72" s="77"/>
      <c r="Z72" s="77"/>
    </row>
    <row r="73" ht="15.75" customHeight="1">
      <c r="A73" s="79"/>
    </row>
    <row r="74" ht="15.75" customHeight="1">
      <c r="A74" s="79" t="s">
        <v>108</v>
      </c>
    </row>
    <row r="75" ht="15.75" customHeight="1">
      <c r="B75" s="80" t="s">
        <v>109</v>
      </c>
      <c r="D75" s="81" t="s">
        <v>110</v>
      </c>
      <c r="E75" s="81" t="s">
        <v>111</v>
      </c>
      <c r="F75" s="80" t="s">
        <v>112</v>
      </c>
    </row>
    <row r="76" ht="15.75" customHeight="1">
      <c r="B76" s="82" t="s">
        <v>113</v>
      </c>
      <c r="D76" s="30" t="s">
        <v>114</v>
      </c>
      <c r="E76" s="30" t="s">
        <v>114</v>
      </c>
      <c r="F76" s="83" t="s">
        <v>115</v>
      </c>
    </row>
    <row r="77" ht="15.75" customHeight="1">
      <c r="B77" s="30" t="s">
        <v>116</v>
      </c>
      <c r="D77" s="30" t="s">
        <v>117</v>
      </c>
      <c r="E77" s="30" t="s">
        <v>117</v>
      </c>
      <c r="F77" s="83" t="s">
        <v>118</v>
      </c>
    </row>
    <row r="78" ht="15.75" customHeight="1">
      <c r="B78" s="30" t="s">
        <v>119</v>
      </c>
      <c r="D78" s="30" t="s">
        <v>120</v>
      </c>
      <c r="E78" s="30" t="s">
        <v>120</v>
      </c>
      <c r="F78" s="83" t="s">
        <v>121</v>
      </c>
    </row>
    <row r="79" ht="15.75" customHeight="1">
      <c r="A79" s="5"/>
    </row>
    <row r="80" ht="15.75" customHeight="1">
      <c r="A80" s="84" t="s">
        <v>122</v>
      </c>
    </row>
    <row r="81" ht="15.75" customHeight="1">
      <c r="A81" s="5" t="s">
        <v>123</v>
      </c>
    </row>
    <row r="82" ht="15.75" customHeight="1">
      <c r="A82" s="5" t="s">
        <v>124</v>
      </c>
    </row>
    <row r="83" ht="15.75" customHeight="1">
      <c r="A83" s="5" t="s">
        <v>125</v>
      </c>
    </row>
    <row r="84" ht="15.75" customHeight="1">
      <c r="A84" s="5" t="s">
        <v>126</v>
      </c>
    </row>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E1"/>
    <mergeCell ref="A3:E3"/>
  </mergeCells>
  <printOptions/>
  <pageMargins bottom="0.75" footer="0.0" header="0.0" left="0.7" right="0.7" top="0.75"/>
  <pageSetup orientation="landscape"/>
  <drawing r:id="rId4"/>
  <legacyDrawing r:id="rId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6.75"/>
    <col customWidth="1" min="2" max="2" width="51.13"/>
    <col customWidth="1" min="3" max="3" width="8.13"/>
    <col customWidth="1" min="4" max="4" width="67.88"/>
    <col customWidth="1" min="5" max="5" width="20.63"/>
    <col customWidth="1" min="6" max="6" width="56.13"/>
    <col customWidth="1" min="7" max="26" width="12.0"/>
  </cols>
  <sheetData>
    <row r="1">
      <c r="A1" s="3" t="s">
        <v>5</v>
      </c>
      <c r="B1" s="4"/>
      <c r="C1" s="4"/>
      <c r="D1" s="4"/>
      <c r="E1" s="4"/>
    </row>
    <row r="2">
      <c r="A2" s="5"/>
    </row>
    <row r="3">
      <c r="A3" s="6" t="s">
        <v>130</v>
      </c>
      <c r="B3" s="4"/>
      <c r="C3" s="4"/>
      <c r="D3" s="4"/>
      <c r="E3" s="4"/>
    </row>
    <row r="4">
      <c r="A4" s="7"/>
    </row>
    <row r="5">
      <c r="A5" s="7" t="s">
        <v>7</v>
      </c>
      <c r="C5" s="8"/>
    </row>
    <row r="6">
      <c r="A6" s="7" t="s">
        <v>8</v>
      </c>
      <c r="C6" s="8"/>
    </row>
    <row r="7">
      <c r="A7" s="7" t="s">
        <v>9</v>
      </c>
      <c r="C7" s="8"/>
    </row>
    <row r="8">
      <c r="A8" s="7" t="s">
        <v>10</v>
      </c>
      <c r="C8" s="8"/>
    </row>
    <row r="9">
      <c r="A9" s="7"/>
    </row>
    <row r="10">
      <c r="A10" s="7" t="s">
        <v>11</v>
      </c>
    </row>
    <row r="11">
      <c r="A11" s="5"/>
    </row>
    <row r="12">
      <c r="A12" s="5" t="s">
        <v>12</v>
      </c>
    </row>
    <row r="13">
      <c r="A13" s="5"/>
    </row>
    <row r="14">
      <c r="A14" s="9" t="s">
        <v>13</v>
      </c>
      <c r="B14" s="9" t="s">
        <v>14</v>
      </c>
      <c r="C14" s="10" t="s">
        <v>15</v>
      </c>
      <c r="D14" s="9" t="s">
        <v>16</v>
      </c>
      <c r="E14" s="11" t="s">
        <v>17</v>
      </c>
    </row>
    <row r="15">
      <c r="A15" s="12" t="s">
        <v>18</v>
      </c>
      <c r="B15" s="12" t="s">
        <v>19</v>
      </c>
      <c r="C15" s="13">
        <f>C16</f>
        <v>10</v>
      </c>
      <c r="D15" s="14"/>
      <c r="E15" s="15"/>
    </row>
    <row r="16">
      <c r="A16" s="14" t="s">
        <v>20</v>
      </c>
      <c r="B16" s="14" t="s">
        <v>21</v>
      </c>
      <c r="C16" s="16">
        <v>10.0</v>
      </c>
      <c r="D16" s="14" t="s">
        <v>22</v>
      </c>
      <c r="E16" s="15"/>
    </row>
    <row r="17">
      <c r="A17" s="18" t="s">
        <v>24</v>
      </c>
      <c r="B17" s="18" t="s">
        <v>25</v>
      </c>
      <c r="C17" s="19">
        <f>SUM(C18:C27)</f>
        <v>50</v>
      </c>
      <c r="D17" s="20"/>
      <c r="E17" s="15"/>
    </row>
    <row r="18">
      <c r="A18" s="20" t="s">
        <v>26</v>
      </c>
      <c r="B18" s="20" t="s">
        <v>27</v>
      </c>
      <c r="C18" s="21">
        <v>5.0</v>
      </c>
      <c r="D18" s="20" t="s">
        <v>28</v>
      </c>
      <c r="E18" s="15"/>
    </row>
    <row r="19">
      <c r="A19" s="20" t="s">
        <v>29</v>
      </c>
      <c r="B19" s="20" t="s">
        <v>30</v>
      </c>
      <c r="C19" s="21">
        <v>5.0</v>
      </c>
      <c r="D19" s="20" t="s">
        <v>31</v>
      </c>
      <c r="E19" s="15"/>
    </row>
    <row r="20">
      <c r="A20" s="20" t="s">
        <v>32</v>
      </c>
      <c r="B20" s="20" t="s">
        <v>33</v>
      </c>
      <c r="C20" s="21">
        <v>0.0</v>
      </c>
      <c r="D20" s="20" t="s">
        <v>34</v>
      </c>
      <c r="E20" s="15"/>
    </row>
    <row r="21" ht="15.75" customHeight="1">
      <c r="A21" s="20" t="s">
        <v>36</v>
      </c>
      <c r="B21" s="20" t="s">
        <v>37</v>
      </c>
      <c r="C21" s="21">
        <v>10.0</v>
      </c>
      <c r="D21" s="22" t="s">
        <v>38</v>
      </c>
      <c r="E21" s="15"/>
    </row>
    <row r="22" ht="15.75" customHeight="1">
      <c r="A22" s="20" t="s">
        <v>39</v>
      </c>
      <c r="B22" s="20" t="s">
        <v>40</v>
      </c>
      <c r="C22" s="21">
        <v>10.0</v>
      </c>
      <c r="D22" s="20" t="s">
        <v>41</v>
      </c>
      <c r="E22" s="23"/>
    </row>
    <row r="23" ht="15.75" customHeight="1">
      <c r="A23" s="20" t="s">
        <v>42</v>
      </c>
      <c r="B23" s="20" t="s">
        <v>43</v>
      </c>
      <c r="C23" s="21">
        <v>5.0</v>
      </c>
      <c r="D23" s="20" t="s">
        <v>44</v>
      </c>
      <c r="E23" s="15"/>
    </row>
    <row r="24" ht="15.75" customHeight="1">
      <c r="A24" s="20" t="s">
        <v>45</v>
      </c>
      <c r="B24" s="20" t="s">
        <v>46</v>
      </c>
      <c r="C24" s="21">
        <v>0.0</v>
      </c>
      <c r="D24" s="20" t="s">
        <v>47</v>
      </c>
      <c r="E24" s="15"/>
    </row>
    <row r="25" ht="15.75" customHeight="1">
      <c r="A25" s="20" t="s">
        <v>48</v>
      </c>
      <c r="B25" s="20" t="s">
        <v>49</v>
      </c>
      <c r="C25" s="21">
        <v>0.0</v>
      </c>
      <c r="D25" s="20" t="s">
        <v>50</v>
      </c>
      <c r="E25" s="15"/>
    </row>
    <row r="26" ht="15.75" customHeight="1">
      <c r="A26" s="20" t="s">
        <v>51</v>
      </c>
      <c r="B26" s="20" t="s">
        <v>52</v>
      </c>
      <c r="C26" s="21">
        <v>10.0</v>
      </c>
      <c r="D26" s="20" t="s">
        <v>53</v>
      </c>
      <c r="E26" s="15"/>
    </row>
    <row r="27" ht="15.75" customHeight="1">
      <c r="A27" s="20" t="s">
        <v>54</v>
      </c>
      <c r="B27" s="20" t="s">
        <v>55</v>
      </c>
      <c r="C27" s="21">
        <v>5.0</v>
      </c>
      <c r="D27" s="20" t="s">
        <v>56</v>
      </c>
      <c r="E27" s="15"/>
    </row>
    <row r="28" ht="15.75" customHeight="1">
      <c r="A28" s="24" t="s">
        <v>57</v>
      </c>
      <c r="B28" s="24" t="s">
        <v>58</v>
      </c>
      <c r="C28" s="25">
        <f>SUM(C29:C31)</f>
        <v>10</v>
      </c>
      <c r="D28" s="26"/>
      <c r="E28" s="15"/>
    </row>
    <row r="29" ht="15.75" customHeight="1">
      <c r="A29" s="26" t="s">
        <v>59</v>
      </c>
      <c r="B29" s="26" t="s">
        <v>60</v>
      </c>
      <c r="C29" s="27">
        <v>0.0</v>
      </c>
      <c r="D29" s="28" t="s">
        <v>62</v>
      </c>
      <c r="E29" s="29"/>
    </row>
    <row r="30" ht="15.75" customHeight="1">
      <c r="A30" s="26" t="s">
        <v>63</v>
      </c>
      <c r="B30" s="26" t="s">
        <v>64</v>
      </c>
      <c r="C30" s="27">
        <v>5.0</v>
      </c>
      <c r="D30" s="28" t="s">
        <v>65</v>
      </c>
      <c r="E30" s="15"/>
    </row>
    <row r="31" ht="15.75" customHeight="1">
      <c r="A31" s="26" t="s">
        <v>66</v>
      </c>
      <c r="B31" s="26" t="s">
        <v>67</v>
      </c>
      <c r="C31" s="27">
        <v>5.0</v>
      </c>
      <c r="D31" s="28" t="s">
        <v>68</v>
      </c>
      <c r="E31" s="15"/>
    </row>
    <row r="32" ht="15.75" customHeight="1">
      <c r="A32" s="30"/>
      <c r="B32" s="30" t="s">
        <v>69</v>
      </c>
      <c r="C32" s="31">
        <f>C28+C17+C15</f>
        <v>70</v>
      </c>
      <c r="D32" s="30"/>
      <c r="E32" s="15"/>
    </row>
    <row r="33" ht="15.75" customHeight="1">
      <c r="A33" s="5"/>
    </row>
    <row r="34" ht="15.75" customHeight="1">
      <c r="A34" s="32" t="s">
        <v>70</v>
      </c>
    </row>
    <row r="35" ht="15.75" customHeight="1">
      <c r="A35" s="33"/>
    </row>
    <row r="36" ht="15.75" customHeight="1">
      <c r="A36" s="34" t="s">
        <v>71</v>
      </c>
    </row>
    <row r="37" ht="15.75" customHeight="1">
      <c r="A37" s="5"/>
    </row>
    <row r="38" ht="15.75" customHeight="1">
      <c r="A38" s="5" t="s">
        <v>12</v>
      </c>
    </row>
    <row r="39" ht="15.75" customHeight="1">
      <c r="A39" s="5"/>
    </row>
    <row r="40" ht="15.75" customHeight="1">
      <c r="A40" s="35" t="s">
        <v>13</v>
      </c>
      <c r="B40" s="35" t="s">
        <v>72</v>
      </c>
      <c r="C40" s="36" t="s">
        <v>15</v>
      </c>
      <c r="D40" s="35" t="s">
        <v>16</v>
      </c>
      <c r="E40" s="11" t="s">
        <v>17</v>
      </c>
    </row>
    <row r="41" ht="15.75" customHeight="1">
      <c r="A41" s="37" t="s">
        <v>18</v>
      </c>
      <c r="B41" s="38" t="s">
        <v>73</v>
      </c>
      <c r="C41" s="39">
        <f>SUM(C42:C44)</f>
        <v>20</v>
      </c>
      <c r="D41" s="40"/>
      <c r="E41" s="15"/>
    </row>
    <row r="42" ht="15.75" customHeight="1">
      <c r="A42" s="41" t="s">
        <v>20</v>
      </c>
      <c r="B42" s="41" t="s">
        <v>74</v>
      </c>
      <c r="C42" s="42">
        <v>10.0</v>
      </c>
      <c r="D42" s="40" t="s">
        <v>75</v>
      </c>
      <c r="E42" s="15"/>
    </row>
    <row r="43" ht="15.75" customHeight="1">
      <c r="A43" s="41" t="s">
        <v>77</v>
      </c>
      <c r="B43" s="41" t="s">
        <v>78</v>
      </c>
      <c r="C43" s="42">
        <v>5.0</v>
      </c>
      <c r="D43" s="40" t="s">
        <v>79</v>
      </c>
      <c r="E43" s="15"/>
    </row>
    <row r="44" ht="15.75" customHeight="1">
      <c r="A44" s="41" t="s">
        <v>81</v>
      </c>
      <c r="B44" s="41" t="s">
        <v>82</v>
      </c>
      <c r="C44" s="42">
        <v>5.0</v>
      </c>
      <c r="D44" s="40" t="s">
        <v>83</v>
      </c>
      <c r="E44" s="15"/>
    </row>
    <row r="45" ht="15.75" customHeight="1">
      <c r="A45" s="43" t="s">
        <v>24</v>
      </c>
      <c r="B45" s="44" t="s">
        <v>85</v>
      </c>
      <c r="C45" s="45">
        <f>SUM(C46:C47)</f>
        <v>30</v>
      </c>
      <c r="D45" s="46"/>
      <c r="E45" s="15"/>
    </row>
    <row r="46" ht="15.75" customHeight="1">
      <c r="A46" s="47" t="s">
        <v>26</v>
      </c>
      <c r="B46" s="48" t="s">
        <v>86</v>
      </c>
      <c r="C46" s="49">
        <v>10.0</v>
      </c>
      <c r="D46" s="46" t="s">
        <v>87</v>
      </c>
      <c r="E46" s="15"/>
    </row>
    <row r="47" ht="15.75" customHeight="1">
      <c r="A47" s="47" t="s">
        <v>29</v>
      </c>
      <c r="B47" s="20" t="s">
        <v>88</v>
      </c>
      <c r="C47" s="49">
        <v>20.0</v>
      </c>
      <c r="D47" s="51" t="s">
        <v>89</v>
      </c>
      <c r="E47" s="23"/>
    </row>
    <row r="48" ht="15.75" customHeight="1">
      <c r="A48" s="52" t="s">
        <v>57</v>
      </c>
      <c r="B48" s="53" t="s">
        <v>90</v>
      </c>
      <c r="C48" s="54">
        <f>C49+C50+C51</f>
        <v>15</v>
      </c>
      <c r="D48" s="55"/>
      <c r="E48" s="15"/>
    </row>
    <row r="49" ht="15.75" customHeight="1">
      <c r="A49" s="56" t="s">
        <v>59</v>
      </c>
      <c r="B49" s="57" t="s">
        <v>91</v>
      </c>
      <c r="C49" s="59">
        <v>5.0</v>
      </c>
      <c r="D49" s="55" t="s">
        <v>92</v>
      </c>
      <c r="E49" s="15"/>
    </row>
    <row r="50" ht="15.75" customHeight="1">
      <c r="A50" s="56" t="s">
        <v>63</v>
      </c>
      <c r="B50" s="57" t="s">
        <v>93</v>
      </c>
      <c r="C50" s="59">
        <v>10.0</v>
      </c>
      <c r="D50" s="55" t="s">
        <v>94</v>
      </c>
      <c r="E50" s="60"/>
    </row>
    <row r="51" ht="15.75" customHeight="1">
      <c r="A51" s="56" t="s">
        <v>66</v>
      </c>
      <c r="B51" s="57" t="s">
        <v>95</v>
      </c>
      <c r="C51" s="59">
        <v>0.0</v>
      </c>
      <c r="D51" s="55" t="s">
        <v>96</v>
      </c>
      <c r="E51" s="15"/>
    </row>
    <row r="52" ht="15.75" customHeight="1">
      <c r="A52" s="61" t="s">
        <v>97</v>
      </c>
      <c r="B52" s="62" t="s">
        <v>98</v>
      </c>
      <c r="C52" s="63">
        <f>C53</f>
        <v>10</v>
      </c>
      <c r="D52" s="64"/>
      <c r="E52" s="15"/>
    </row>
    <row r="53" ht="15.75" customHeight="1">
      <c r="A53" s="65" t="s">
        <v>99</v>
      </c>
      <c r="B53" s="66" t="s">
        <v>100</v>
      </c>
      <c r="C53" s="67">
        <v>10.0</v>
      </c>
      <c r="D53" s="64" t="s">
        <v>101</v>
      </c>
      <c r="E53" s="15"/>
    </row>
    <row r="54" ht="15.75" customHeight="1">
      <c r="A54" s="30"/>
      <c r="B54" s="30" t="s">
        <v>102</v>
      </c>
      <c r="C54" s="68">
        <f>C52+C48+C45+C41</f>
        <v>75</v>
      </c>
      <c r="D54" s="30"/>
      <c r="E54" s="15"/>
    </row>
    <row r="55" ht="15.75" customHeight="1">
      <c r="A55" s="69"/>
    </row>
    <row r="56" ht="15.75" customHeight="1">
      <c r="A56" s="70" t="s">
        <v>103</v>
      </c>
      <c r="D56" s="71"/>
    </row>
    <row r="57" ht="15.75" customHeight="1">
      <c r="A57" s="70"/>
      <c r="D57" s="71"/>
    </row>
    <row r="58" ht="15.75" customHeight="1">
      <c r="A58" s="72" t="s">
        <v>104</v>
      </c>
      <c r="B58" s="73" t="s">
        <v>105</v>
      </c>
      <c r="C58" s="73"/>
      <c r="D58" s="73" t="s">
        <v>106</v>
      </c>
    </row>
    <row r="59" ht="15.75" customHeight="1">
      <c r="A59" s="89">
        <v>1.0</v>
      </c>
      <c r="B59" s="17" t="s">
        <v>131</v>
      </c>
      <c r="C59" s="15"/>
      <c r="D59" s="75"/>
    </row>
    <row r="60" ht="15.75" customHeight="1">
      <c r="A60" s="89">
        <v>2.0</v>
      </c>
      <c r="B60" s="17" t="s">
        <v>132</v>
      </c>
      <c r="C60" s="15"/>
      <c r="D60" s="75"/>
    </row>
    <row r="61" ht="15.75" customHeight="1">
      <c r="A61" s="74"/>
      <c r="B61" s="15"/>
      <c r="C61" s="15"/>
      <c r="D61" s="75"/>
    </row>
    <row r="62" ht="15.75" customHeight="1">
      <c r="A62" s="74"/>
      <c r="B62" s="15"/>
      <c r="C62" s="15"/>
      <c r="D62" s="75"/>
    </row>
    <row r="63" ht="15.75" customHeight="1">
      <c r="A63" s="74"/>
      <c r="B63" s="15"/>
      <c r="C63" s="15"/>
      <c r="D63" s="75"/>
    </row>
    <row r="64" ht="15.75" customHeight="1">
      <c r="A64" s="74"/>
      <c r="B64" s="15"/>
      <c r="C64" s="15"/>
      <c r="D64" s="75"/>
    </row>
    <row r="65" ht="15.75" customHeight="1">
      <c r="A65" s="74"/>
      <c r="B65" s="15"/>
      <c r="C65" s="15"/>
      <c r="D65" s="75"/>
    </row>
    <row r="66" ht="15.75" customHeight="1">
      <c r="A66" s="74"/>
      <c r="B66" s="15"/>
      <c r="C66" s="15"/>
      <c r="D66" s="75"/>
    </row>
    <row r="67" ht="15.75" customHeight="1">
      <c r="A67" s="74"/>
      <c r="B67" s="15"/>
      <c r="C67" s="15"/>
      <c r="D67" s="75"/>
    </row>
    <row r="68" ht="15.75" customHeight="1">
      <c r="A68" s="74"/>
      <c r="B68" s="15"/>
      <c r="C68" s="15"/>
      <c r="D68" s="75"/>
    </row>
    <row r="69" ht="15.75" customHeight="1">
      <c r="A69" s="70"/>
      <c r="D69" s="71"/>
    </row>
    <row r="70" ht="15.75" customHeight="1">
      <c r="A70" s="70"/>
      <c r="D70" s="71"/>
    </row>
    <row r="71" ht="15.75" customHeight="1">
      <c r="A71" s="70"/>
      <c r="D71" s="71"/>
    </row>
    <row r="72" ht="15.75" customHeight="1">
      <c r="A72" s="76" t="s">
        <v>107</v>
      </c>
      <c r="B72" s="77"/>
      <c r="C72" s="77"/>
      <c r="D72" s="78" t="str">
        <f>IF(AND(C32&gt;80,C54&gt;80),"Layak Klaim",IF(AND(C32&gt;=60,C32&lt;=80,C54&gt;80),"Perlu Koreksi",IF(AND(C32&gt;=60,C32&lt;=80,C54&gt;=60,C54&lt;=80),"Perlu Koreksi",IF(AND(C32&gt;80,C54&gt;=60,C54&lt;=80),"Perlu Koreksi","Tidak Layak"))))</f>
        <v>Perlu Koreksi</v>
      </c>
      <c r="E72" s="77"/>
      <c r="F72" s="77"/>
      <c r="G72" s="77"/>
      <c r="H72" s="77"/>
      <c r="I72" s="77"/>
      <c r="J72" s="77"/>
      <c r="K72" s="77"/>
      <c r="L72" s="77"/>
      <c r="M72" s="77"/>
      <c r="N72" s="77"/>
      <c r="O72" s="77"/>
      <c r="P72" s="77"/>
      <c r="Q72" s="77"/>
      <c r="R72" s="77"/>
      <c r="S72" s="77"/>
      <c r="T72" s="77"/>
      <c r="U72" s="77"/>
      <c r="V72" s="77"/>
      <c r="W72" s="77"/>
      <c r="X72" s="77"/>
      <c r="Y72" s="77"/>
      <c r="Z72" s="77"/>
    </row>
    <row r="73" ht="15.75" customHeight="1">
      <c r="A73" s="79"/>
    </row>
    <row r="74" ht="15.75" customHeight="1">
      <c r="A74" s="79" t="s">
        <v>108</v>
      </c>
    </row>
    <row r="75" ht="15.75" customHeight="1">
      <c r="B75" s="80" t="s">
        <v>109</v>
      </c>
      <c r="D75" s="81" t="s">
        <v>110</v>
      </c>
      <c r="E75" s="81" t="s">
        <v>111</v>
      </c>
      <c r="F75" s="80" t="s">
        <v>112</v>
      </c>
    </row>
    <row r="76" ht="15.75" customHeight="1">
      <c r="B76" s="82" t="s">
        <v>113</v>
      </c>
      <c r="D76" s="30" t="s">
        <v>114</v>
      </c>
      <c r="E76" s="30" t="s">
        <v>114</v>
      </c>
      <c r="F76" s="83" t="s">
        <v>115</v>
      </c>
    </row>
    <row r="77" ht="15.75" customHeight="1">
      <c r="B77" s="30" t="s">
        <v>116</v>
      </c>
      <c r="D77" s="30" t="s">
        <v>117</v>
      </c>
      <c r="E77" s="30" t="s">
        <v>117</v>
      </c>
      <c r="F77" s="83" t="s">
        <v>118</v>
      </c>
    </row>
    <row r="78" ht="15.75" customHeight="1">
      <c r="B78" s="30" t="s">
        <v>119</v>
      </c>
      <c r="D78" s="30" t="s">
        <v>120</v>
      </c>
      <c r="E78" s="30" t="s">
        <v>120</v>
      </c>
      <c r="F78" s="83" t="s">
        <v>121</v>
      </c>
    </row>
    <row r="79" ht="15.75" customHeight="1">
      <c r="A79" s="5"/>
    </row>
    <row r="80" ht="15.75" customHeight="1">
      <c r="A80" s="84" t="s">
        <v>122</v>
      </c>
    </row>
    <row r="81" ht="15.75" customHeight="1">
      <c r="A81" s="5" t="s">
        <v>123</v>
      </c>
    </row>
    <row r="82" ht="15.75" customHeight="1">
      <c r="A82" s="5" t="s">
        <v>124</v>
      </c>
    </row>
    <row r="83" ht="15.75" customHeight="1">
      <c r="A83" s="5" t="s">
        <v>125</v>
      </c>
    </row>
    <row r="84" ht="15.75" customHeight="1">
      <c r="A84" s="5" t="s">
        <v>126</v>
      </c>
    </row>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E1"/>
    <mergeCell ref="A3:E3"/>
  </mergeCells>
  <printOptions/>
  <pageMargins bottom="0.75" footer="0.0" header="0.0" left="0.7" right="0.7" top="0.75"/>
  <pageSetup orientation="landscape"/>
  <drawing r:id="rId4"/>
  <legacyDrawing r:id="rId5"/>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6.75"/>
    <col customWidth="1" min="2" max="2" width="51.13"/>
    <col customWidth="1" min="3" max="3" width="8.13"/>
    <col customWidth="1" min="4" max="4" width="67.88"/>
    <col customWidth="1" min="5" max="5" width="20.63"/>
    <col customWidth="1" min="6" max="6" width="56.13"/>
    <col customWidth="1" min="7" max="26" width="12.0"/>
  </cols>
  <sheetData>
    <row r="1">
      <c r="A1" s="3" t="s">
        <v>5</v>
      </c>
      <c r="B1" s="4"/>
      <c r="C1" s="4"/>
      <c r="D1" s="4"/>
      <c r="E1" s="4"/>
    </row>
    <row r="2">
      <c r="A2" s="5"/>
    </row>
    <row r="3">
      <c r="A3" s="6" t="s">
        <v>133</v>
      </c>
      <c r="B3" s="4"/>
      <c r="C3" s="4"/>
      <c r="D3" s="4"/>
      <c r="E3" s="4"/>
    </row>
    <row r="4">
      <c r="A4" s="7"/>
    </row>
    <row r="5">
      <c r="A5" s="7" t="s">
        <v>7</v>
      </c>
      <c r="C5" s="8"/>
    </row>
    <row r="6">
      <c r="A6" s="7" t="s">
        <v>8</v>
      </c>
      <c r="C6" s="8"/>
    </row>
    <row r="7">
      <c r="A7" s="7" t="s">
        <v>9</v>
      </c>
      <c r="C7" s="8"/>
    </row>
    <row r="8">
      <c r="A8" s="7" t="s">
        <v>10</v>
      </c>
      <c r="C8" s="8"/>
    </row>
    <row r="9">
      <c r="A9" s="7"/>
    </row>
    <row r="10">
      <c r="A10" s="7" t="s">
        <v>11</v>
      </c>
    </row>
    <row r="11">
      <c r="A11" s="5"/>
    </row>
    <row r="12">
      <c r="A12" s="5" t="s">
        <v>12</v>
      </c>
    </row>
    <row r="13">
      <c r="A13" s="5"/>
    </row>
    <row r="14">
      <c r="A14" s="9" t="s">
        <v>13</v>
      </c>
      <c r="B14" s="9" t="s">
        <v>14</v>
      </c>
      <c r="C14" s="10" t="s">
        <v>15</v>
      </c>
      <c r="D14" s="9" t="s">
        <v>16</v>
      </c>
      <c r="E14" s="11" t="s">
        <v>17</v>
      </c>
    </row>
    <row r="15">
      <c r="A15" s="12" t="s">
        <v>18</v>
      </c>
      <c r="B15" s="12" t="s">
        <v>19</v>
      </c>
      <c r="C15" s="13">
        <f>C16</f>
        <v>10</v>
      </c>
      <c r="D15" s="14"/>
      <c r="E15" s="15"/>
    </row>
    <row r="16">
      <c r="A16" s="14" t="s">
        <v>20</v>
      </c>
      <c r="B16" s="14" t="s">
        <v>21</v>
      </c>
      <c r="C16" s="16">
        <v>10.0</v>
      </c>
      <c r="D16" s="14" t="s">
        <v>22</v>
      </c>
      <c r="E16" s="17"/>
    </row>
    <row r="17">
      <c r="A17" s="18" t="s">
        <v>24</v>
      </c>
      <c r="B17" s="18" t="s">
        <v>25</v>
      </c>
      <c r="C17" s="19">
        <f>SUM(C18:C27)</f>
        <v>68</v>
      </c>
      <c r="D17" s="20"/>
      <c r="E17" s="15"/>
    </row>
    <row r="18">
      <c r="A18" s="20" t="s">
        <v>26</v>
      </c>
      <c r="B18" s="20" t="s">
        <v>27</v>
      </c>
      <c r="C18" s="21">
        <v>3.0</v>
      </c>
      <c r="D18" s="20" t="s">
        <v>28</v>
      </c>
      <c r="E18" s="17"/>
      <c r="F18" s="90" t="s">
        <v>134</v>
      </c>
    </row>
    <row r="19">
      <c r="A19" s="20" t="s">
        <v>29</v>
      </c>
      <c r="B19" s="20" t="s">
        <v>30</v>
      </c>
      <c r="C19" s="21">
        <v>5.0</v>
      </c>
      <c r="D19" s="20" t="s">
        <v>31</v>
      </c>
      <c r="E19" s="17"/>
    </row>
    <row r="20">
      <c r="A20" s="20" t="s">
        <v>32</v>
      </c>
      <c r="B20" s="20" t="s">
        <v>33</v>
      </c>
      <c r="C20" s="21">
        <v>5.0</v>
      </c>
      <c r="D20" s="20" t="s">
        <v>34</v>
      </c>
      <c r="E20" s="17"/>
    </row>
    <row r="21" ht="15.75" customHeight="1">
      <c r="A21" s="20" t="s">
        <v>36</v>
      </c>
      <c r="B21" s="20" t="s">
        <v>37</v>
      </c>
      <c r="C21" s="21">
        <v>10.0</v>
      </c>
      <c r="D21" s="22" t="s">
        <v>38</v>
      </c>
      <c r="E21" s="17"/>
      <c r="F21" s="90" t="s">
        <v>135</v>
      </c>
    </row>
    <row r="22" ht="15.75" customHeight="1">
      <c r="A22" s="20" t="s">
        <v>39</v>
      </c>
      <c r="B22" s="20" t="s">
        <v>40</v>
      </c>
      <c r="C22" s="21">
        <v>15.0</v>
      </c>
      <c r="D22" s="20" t="s">
        <v>41</v>
      </c>
      <c r="E22" s="85"/>
    </row>
    <row r="23" ht="15.75" customHeight="1">
      <c r="A23" s="20" t="s">
        <v>42</v>
      </c>
      <c r="B23" s="20" t="s">
        <v>43</v>
      </c>
      <c r="C23" s="21">
        <v>5.0</v>
      </c>
      <c r="D23" s="20" t="s">
        <v>44</v>
      </c>
      <c r="E23" s="17"/>
    </row>
    <row r="24" ht="15.75" customHeight="1">
      <c r="A24" s="20" t="s">
        <v>45</v>
      </c>
      <c r="B24" s="20" t="s">
        <v>46</v>
      </c>
      <c r="C24" s="21">
        <v>5.0</v>
      </c>
      <c r="D24" s="20" t="s">
        <v>47</v>
      </c>
      <c r="E24" s="17"/>
    </row>
    <row r="25" ht="15.75" customHeight="1">
      <c r="A25" s="20" t="s">
        <v>48</v>
      </c>
      <c r="B25" s="20" t="s">
        <v>49</v>
      </c>
      <c r="C25" s="21">
        <v>5.0</v>
      </c>
      <c r="D25" s="20" t="s">
        <v>50</v>
      </c>
      <c r="E25" s="17"/>
    </row>
    <row r="26" ht="15.75" customHeight="1">
      <c r="A26" s="20" t="s">
        <v>51</v>
      </c>
      <c r="B26" s="20" t="s">
        <v>52</v>
      </c>
      <c r="C26" s="21">
        <v>10.0</v>
      </c>
      <c r="D26" s="20" t="s">
        <v>53</v>
      </c>
      <c r="E26" s="17"/>
    </row>
    <row r="27" ht="15.75" customHeight="1">
      <c r="A27" s="20" t="s">
        <v>54</v>
      </c>
      <c r="B27" s="20" t="s">
        <v>55</v>
      </c>
      <c r="C27" s="21">
        <v>5.0</v>
      </c>
      <c r="D27" s="20" t="s">
        <v>56</v>
      </c>
      <c r="E27" s="15"/>
    </row>
    <row r="28" ht="15.75" customHeight="1">
      <c r="A28" s="24" t="s">
        <v>57</v>
      </c>
      <c r="B28" s="24" t="s">
        <v>58</v>
      </c>
      <c r="C28" s="25">
        <f>SUM(C29:C31)</f>
        <v>10</v>
      </c>
      <c r="D28" s="26"/>
      <c r="E28" s="15"/>
    </row>
    <row r="29" ht="15.75" customHeight="1">
      <c r="A29" s="26" t="s">
        <v>59</v>
      </c>
      <c r="B29" s="26" t="s">
        <v>60</v>
      </c>
      <c r="C29" s="27" t="s">
        <v>61</v>
      </c>
      <c r="D29" s="28" t="s">
        <v>62</v>
      </c>
      <c r="E29" s="29"/>
    </row>
    <row r="30" ht="15.75" customHeight="1">
      <c r="A30" s="26" t="s">
        <v>63</v>
      </c>
      <c r="B30" s="26" t="s">
        <v>64</v>
      </c>
      <c r="C30" s="27">
        <v>5.0</v>
      </c>
      <c r="D30" s="28" t="s">
        <v>65</v>
      </c>
      <c r="E30" s="15"/>
    </row>
    <row r="31" ht="15.75" customHeight="1">
      <c r="A31" s="26" t="s">
        <v>66</v>
      </c>
      <c r="B31" s="26" t="s">
        <v>67</v>
      </c>
      <c r="C31" s="27">
        <v>5.0</v>
      </c>
      <c r="D31" s="28" t="s">
        <v>68</v>
      </c>
      <c r="E31" s="15"/>
    </row>
    <row r="32" ht="15.75" customHeight="1">
      <c r="A32" s="30"/>
      <c r="B32" s="30" t="s">
        <v>69</v>
      </c>
      <c r="C32" s="31">
        <f>C28+C17+C15</f>
        <v>88</v>
      </c>
      <c r="D32" s="30"/>
      <c r="E32" s="15"/>
    </row>
    <row r="33" ht="15.75" customHeight="1">
      <c r="A33" s="5"/>
    </row>
    <row r="34" ht="15.75" customHeight="1">
      <c r="A34" s="32" t="s">
        <v>70</v>
      </c>
    </row>
    <row r="35" ht="15.75" customHeight="1">
      <c r="A35" s="33"/>
    </row>
    <row r="36" ht="15.75" customHeight="1">
      <c r="A36" s="34" t="s">
        <v>71</v>
      </c>
    </row>
    <row r="37" ht="15.75" customHeight="1">
      <c r="A37" s="5"/>
    </row>
    <row r="38" ht="15.75" customHeight="1">
      <c r="A38" s="5" t="s">
        <v>12</v>
      </c>
    </row>
    <row r="39" ht="15.75" customHeight="1">
      <c r="A39" s="5"/>
    </row>
    <row r="40" ht="15.75" customHeight="1">
      <c r="A40" s="35" t="s">
        <v>13</v>
      </c>
      <c r="B40" s="35" t="s">
        <v>72</v>
      </c>
      <c r="C40" s="36" t="s">
        <v>15</v>
      </c>
      <c r="D40" s="35" t="s">
        <v>16</v>
      </c>
      <c r="E40" s="11" t="s">
        <v>17</v>
      </c>
    </row>
    <row r="41" ht="15.75" customHeight="1">
      <c r="A41" s="37" t="s">
        <v>18</v>
      </c>
      <c r="B41" s="38" t="s">
        <v>73</v>
      </c>
      <c r="C41" s="39">
        <f>SUM(C42:C44)</f>
        <v>0</v>
      </c>
      <c r="D41" s="40"/>
      <c r="E41" s="15"/>
    </row>
    <row r="42" ht="15.75" customHeight="1">
      <c r="A42" s="41" t="s">
        <v>20</v>
      </c>
      <c r="B42" s="41" t="s">
        <v>74</v>
      </c>
      <c r="C42" s="91"/>
      <c r="D42" s="40" t="s">
        <v>75</v>
      </c>
      <c r="E42" s="15"/>
    </row>
    <row r="43" ht="15.75" customHeight="1">
      <c r="A43" s="41" t="s">
        <v>77</v>
      </c>
      <c r="B43" s="41" t="s">
        <v>78</v>
      </c>
      <c r="C43" s="91"/>
      <c r="D43" s="40" t="s">
        <v>79</v>
      </c>
      <c r="E43" s="15"/>
    </row>
    <row r="44" ht="15.75" customHeight="1">
      <c r="A44" s="41" t="s">
        <v>81</v>
      </c>
      <c r="B44" s="41" t="s">
        <v>82</v>
      </c>
      <c r="C44" s="91"/>
      <c r="D44" s="40" t="s">
        <v>83</v>
      </c>
      <c r="E44" s="15"/>
    </row>
    <row r="45" ht="15.75" customHeight="1">
      <c r="A45" s="43" t="s">
        <v>24</v>
      </c>
      <c r="B45" s="44" t="s">
        <v>85</v>
      </c>
      <c r="C45" s="45">
        <f>SUM(C46:C47)</f>
        <v>0</v>
      </c>
      <c r="D45" s="46"/>
      <c r="E45" s="15"/>
    </row>
    <row r="46" ht="15.75" customHeight="1">
      <c r="A46" s="47" t="s">
        <v>26</v>
      </c>
      <c r="B46" s="48" t="s">
        <v>86</v>
      </c>
      <c r="C46" s="50"/>
      <c r="D46" s="46" t="s">
        <v>87</v>
      </c>
      <c r="E46" s="15"/>
    </row>
    <row r="47" ht="15.75" customHeight="1">
      <c r="A47" s="47" t="s">
        <v>29</v>
      </c>
      <c r="B47" s="20" t="s">
        <v>88</v>
      </c>
      <c r="C47" s="50"/>
      <c r="D47" s="51" t="s">
        <v>89</v>
      </c>
      <c r="E47" s="23"/>
    </row>
    <row r="48" ht="15.75" customHeight="1">
      <c r="A48" s="52" t="s">
        <v>57</v>
      </c>
      <c r="B48" s="53" t="s">
        <v>90</v>
      </c>
      <c r="C48" s="54">
        <f>C49+C50+C51</f>
        <v>0</v>
      </c>
      <c r="D48" s="55"/>
      <c r="E48" s="15"/>
    </row>
    <row r="49" ht="15.75" customHeight="1">
      <c r="A49" s="56" t="s">
        <v>59</v>
      </c>
      <c r="B49" s="57" t="s">
        <v>91</v>
      </c>
      <c r="C49" s="58"/>
      <c r="D49" s="55" t="s">
        <v>92</v>
      </c>
      <c r="E49" s="15"/>
    </row>
    <row r="50" ht="15.75" customHeight="1">
      <c r="A50" s="56" t="s">
        <v>63</v>
      </c>
      <c r="B50" s="57" t="s">
        <v>93</v>
      </c>
      <c r="C50" s="58"/>
      <c r="D50" s="55" t="s">
        <v>94</v>
      </c>
      <c r="E50" s="60"/>
    </row>
    <row r="51" ht="15.75" customHeight="1">
      <c r="A51" s="56" t="s">
        <v>66</v>
      </c>
      <c r="B51" s="57" t="s">
        <v>95</v>
      </c>
      <c r="C51" s="58"/>
      <c r="D51" s="55" t="s">
        <v>96</v>
      </c>
      <c r="E51" s="15"/>
    </row>
    <row r="52" ht="15.75" customHeight="1">
      <c r="A52" s="61" t="s">
        <v>97</v>
      </c>
      <c r="B52" s="62" t="s">
        <v>98</v>
      </c>
      <c r="C52" s="63" t="str">
        <f>C53</f>
        <v/>
      </c>
      <c r="D52" s="64"/>
      <c r="E52" s="15"/>
    </row>
    <row r="53" ht="15.75" customHeight="1">
      <c r="A53" s="65" t="s">
        <v>99</v>
      </c>
      <c r="B53" s="66" t="s">
        <v>100</v>
      </c>
      <c r="C53" s="92"/>
      <c r="D53" s="64" t="s">
        <v>101</v>
      </c>
      <c r="E53" s="15"/>
    </row>
    <row r="54" ht="15.75" customHeight="1">
      <c r="A54" s="30"/>
      <c r="B54" s="30" t="s">
        <v>102</v>
      </c>
      <c r="C54" s="68">
        <f>C52+C48+C45+C41</f>
        <v>0</v>
      </c>
      <c r="D54" s="30"/>
      <c r="E54" s="15"/>
    </row>
    <row r="55" ht="15.75" customHeight="1">
      <c r="A55" s="69"/>
    </row>
    <row r="56" ht="15.75" customHeight="1">
      <c r="A56" s="70" t="s">
        <v>103</v>
      </c>
      <c r="D56" s="71"/>
    </row>
    <row r="57" ht="15.75" customHeight="1">
      <c r="A57" s="70"/>
      <c r="D57" s="71"/>
    </row>
    <row r="58" ht="15.75" customHeight="1">
      <c r="A58" s="72" t="s">
        <v>104</v>
      </c>
      <c r="B58" s="73" t="s">
        <v>105</v>
      </c>
      <c r="C58" s="73"/>
      <c r="D58" s="73" t="s">
        <v>106</v>
      </c>
    </row>
    <row r="59" ht="15.75" customHeight="1">
      <c r="A59" s="74"/>
      <c r="B59" s="15"/>
      <c r="C59" s="15"/>
      <c r="D59" s="75"/>
    </row>
    <row r="60" ht="15.75" customHeight="1">
      <c r="A60" s="74"/>
      <c r="B60" s="15"/>
      <c r="C60" s="15"/>
      <c r="D60" s="75"/>
    </row>
    <row r="61" ht="15.75" customHeight="1">
      <c r="A61" s="74"/>
      <c r="B61" s="15"/>
      <c r="C61" s="15"/>
      <c r="D61" s="75"/>
    </row>
    <row r="62" ht="15.75" customHeight="1">
      <c r="A62" s="74"/>
      <c r="B62" s="15"/>
      <c r="C62" s="15"/>
      <c r="D62" s="75"/>
    </row>
    <row r="63" ht="15.75" customHeight="1">
      <c r="A63" s="74"/>
      <c r="B63" s="15"/>
      <c r="C63" s="15"/>
      <c r="D63" s="75"/>
    </row>
    <row r="64" ht="15.75" customHeight="1">
      <c r="A64" s="74"/>
      <c r="B64" s="15"/>
      <c r="C64" s="15"/>
      <c r="D64" s="75"/>
    </row>
    <row r="65" ht="15.75" customHeight="1">
      <c r="A65" s="74"/>
      <c r="B65" s="15"/>
      <c r="C65" s="15"/>
      <c r="D65" s="75"/>
    </row>
    <row r="66" ht="15.75" customHeight="1">
      <c r="A66" s="74"/>
      <c r="B66" s="15"/>
      <c r="C66" s="15"/>
      <c r="D66" s="75"/>
    </row>
    <row r="67" ht="15.75" customHeight="1">
      <c r="A67" s="74"/>
      <c r="B67" s="15"/>
      <c r="C67" s="15"/>
      <c r="D67" s="75"/>
    </row>
    <row r="68" ht="15.75" customHeight="1">
      <c r="A68" s="74"/>
      <c r="B68" s="15"/>
      <c r="C68" s="15"/>
      <c r="D68" s="75"/>
    </row>
    <row r="69" ht="15.75" customHeight="1">
      <c r="A69" s="70"/>
      <c r="D69" s="71"/>
    </row>
    <row r="70" ht="15.75" customHeight="1">
      <c r="A70" s="70"/>
      <c r="D70" s="71"/>
    </row>
    <row r="71" ht="15.75" customHeight="1">
      <c r="A71" s="70"/>
      <c r="D71" s="71"/>
    </row>
    <row r="72" ht="15.75" customHeight="1">
      <c r="A72" s="76" t="s">
        <v>107</v>
      </c>
      <c r="B72" s="77"/>
      <c r="C72" s="77"/>
      <c r="D72" s="78" t="str">
        <f>IF(AND(C32&gt;80,C54&gt;80),"Layak Klaim",IF(AND(C32&gt;=60,C32&lt;=80,C54&gt;80),"Perlu Koreksi",IF(AND(C32&gt;=60,C32&lt;=80,C54&gt;=60,C54&lt;=80),"Perlu Koreksi",IF(AND(C32&gt;80,C54&gt;=60,C54&lt;=80),"Perlu Koreksi","Tidak Layak"))))</f>
        <v>Tidak Layak</v>
      </c>
      <c r="E72" s="77"/>
      <c r="F72" s="77"/>
      <c r="G72" s="77"/>
      <c r="H72" s="77"/>
      <c r="I72" s="77"/>
      <c r="J72" s="77"/>
      <c r="K72" s="77"/>
      <c r="L72" s="77"/>
      <c r="M72" s="77"/>
      <c r="N72" s="77"/>
      <c r="O72" s="77"/>
      <c r="P72" s="77"/>
      <c r="Q72" s="77"/>
      <c r="R72" s="77"/>
      <c r="S72" s="77"/>
      <c r="T72" s="77"/>
      <c r="U72" s="77"/>
      <c r="V72" s="77"/>
      <c r="W72" s="77"/>
      <c r="X72" s="77"/>
      <c r="Y72" s="77"/>
      <c r="Z72" s="77"/>
    </row>
    <row r="73" ht="15.75" customHeight="1">
      <c r="A73" s="79"/>
    </row>
    <row r="74" ht="15.75" customHeight="1">
      <c r="A74" s="79" t="s">
        <v>108</v>
      </c>
    </row>
    <row r="75" ht="15.75" customHeight="1">
      <c r="B75" s="80" t="s">
        <v>109</v>
      </c>
      <c r="D75" s="81" t="s">
        <v>110</v>
      </c>
      <c r="E75" s="81" t="s">
        <v>111</v>
      </c>
      <c r="F75" s="80" t="s">
        <v>112</v>
      </c>
    </row>
    <row r="76" ht="15.75" customHeight="1">
      <c r="B76" s="82" t="s">
        <v>113</v>
      </c>
      <c r="D76" s="30" t="s">
        <v>114</v>
      </c>
      <c r="E76" s="30" t="s">
        <v>114</v>
      </c>
      <c r="F76" s="83" t="s">
        <v>115</v>
      </c>
    </row>
    <row r="77" ht="15.75" customHeight="1">
      <c r="B77" s="30" t="s">
        <v>116</v>
      </c>
      <c r="D77" s="30" t="s">
        <v>117</v>
      </c>
      <c r="E77" s="30" t="s">
        <v>117</v>
      </c>
      <c r="F77" s="83" t="s">
        <v>118</v>
      </c>
    </row>
    <row r="78" ht="15.75" customHeight="1">
      <c r="B78" s="30" t="s">
        <v>119</v>
      </c>
      <c r="D78" s="30" t="s">
        <v>120</v>
      </c>
      <c r="E78" s="30" t="s">
        <v>120</v>
      </c>
      <c r="F78" s="83" t="s">
        <v>121</v>
      </c>
    </row>
    <row r="79" ht="15.75" customHeight="1">
      <c r="A79" s="5"/>
    </row>
    <row r="80" ht="15.75" customHeight="1">
      <c r="A80" s="84" t="s">
        <v>122</v>
      </c>
    </row>
    <row r="81" ht="15.75" customHeight="1">
      <c r="A81" s="5" t="s">
        <v>123</v>
      </c>
    </row>
    <row r="82" ht="15.75" customHeight="1">
      <c r="A82" s="5" t="s">
        <v>124</v>
      </c>
    </row>
    <row r="83" ht="15.75" customHeight="1">
      <c r="A83" s="5" t="s">
        <v>125</v>
      </c>
    </row>
    <row r="84" ht="15.75" customHeight="1">
      <c r="A84" s="5" t="s">
        <v>126</v>
      </c>
    </row>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E1"/>
    <mergeCell ref="A3:E3"/>
  </mergeCells>
  <printOptions/>
  <pageMargins bottom="0.75" footer="0.0" header="0.0" left="0.7" right="0.7" top="0.75"/>
  <pageSetup orientation="landscape"/>
  <drawing r:id="rId4"/>
  <legacyDrawing r:id="rId5"/>
</worksheet>
</file>