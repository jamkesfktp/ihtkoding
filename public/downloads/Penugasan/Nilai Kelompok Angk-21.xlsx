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" sheetId="1" r:id="rId5"/>
    <sheet state="visible" name="MPI_1" sheetId="2" r:id="rId6"/>
    <sheet state="visible" name="MPI_2" sheetId="3" r:id="rId7"/>
    <sheet state="visible" name="MPI_3" sheetId="4" r:id="rId8"/>
    <sheet state="visible" name="MPI_4" sheetId="5" r:id="rId9"/>
    <sheet state="visible" name="MPI_5" sheetId="6" r:id="rId10"/>
  </sheets>
  <definedNames>
    <definedName hidden="1" localSheetId="0" name="_xlnm._FilterDatabase">'Daftar Peserta'!$A$3:$B$8</definedName>
  </definedNames>
  <calcPr/>
</workbook>
</file>

<file path=xl/sharedStrings.xml><?xml version="1.0" encoding="utf-8"?>
<sst xmlns="http://schemas.openxmlformats.org/spreadsheetml/2006/main" count="1112" uniqueCount="319">
  <si>
    <t>DAFTAR PROFESI PESERTA</t>
  </si>
  <si>
    <t>Nama Profesi</t>
  </si>
  <si>
    <t>Administrator Kesehatan</t>
  </si>
  <si>
    <t>Dokter</t>
  </si>
  <si>
    <t>Kesehatan Masyarakat</t>
  </si>
  <si>
    <t>Perawat</t>
  </si>
  <si>
    <t>Perekam Medis</t>
  </si>
  <si>
    <t>ANGKATAN 21</t>
  </si>
  <si>
    <t>NOMOR KELOMPOK</t>
  </si>
  <si>
    <t>No.</t>
  </si>
  <si>
    <t>Nama Peserta</t>
  </si>
  <si>
    <t>Instansi</t>
  </si>
  <si>
    <t>Profesi</t>
  </si>
  <si>
    <t>Provinsi</t>
  </si>
  <si>
    <t>MPI-1</t>
  </si>
  <si>
    <t>MPI-2</t>
  </si>
  <si>
    <t>MPI-3</t>
  </si>
  <si>
    <t>MPI-4</t>
  </si>
  <si>
    <t>MPI-5</t>
  </si>
  <si>
    <t>1</t>
  </si>
  <si>
    <t>Aliva Aqila</t>
  </si>
  <si>
    <t>RS Kapal dr. Lie Dharmawan II</t>
  </si>
  <si>
    <t>DKI Jakarta</t>
  </si>
  <si>
    <t>2</t>
  </si>
  <si>
    <t>Amri Konadi</t>
  </si>
  <si>
    <t>RSUD Datu Beru Takengon</t>
  </si>
  <si>
    <t>Aceh</t>
  </si>
  <si>
    <t>3</t>
  </si>
  <si>
    <t>Arum Kusuma Wardani</t>
  </si>
  <si>
    <t>RS Ananda Babelan</t>
  </si>
  <si>
    <t>Jawa Barat</t>
  </si>
  <si>
    <t>4</t>
  </si>
  <si>
    <t>Arum Sutria</t>
  </si>
  <si>
    <t>RS Sumber Waras Cirebon</t>
  </si>
  <si>
    <t>5</t>
  </si>
  <si>
    <t>Bekajaya Lahagu</t>
  </si>
  <si>
    <t>RS Amanda Cikarang Selatan</t>
  </si>
  <si>
    <t>6</t>
  </si>
  <si>
    <t>Dear Flowery Ahmad</t>
  </si>
  <si>
    <t>Columbia Asia Hospital BSD</t>
  </si>
  <si>
    <t>Banten</t>
  </si>
  <si>
    <t>7</t>
  </si>
  <si>
    <t>Dewi Rahmawanti</t>
  </si>
  <si>
    <t>Rumah Sakit Helsa Ciputat</t>
  </si>
  <si>
    <t>8</t>
  </si>
  <si>
    <t>Dhimaz Dhandy Pradana</t>
  </si>
  <si>
    <t>RS Indriati Boyolali</t>
  </si>
  <si>
    <t>Jawa Tengah</t>
  </si>
  <si>
    <t>9</t>
  </si>
  <si>
    <t>Dwi Yustika Hidayati</t>
  </si>
  <si>
    <t>RS Cikarang Medika</t>
  </si>
  <si>
    <t>10</t>
  </si>
  <si>
    <t>Elis Triani</t>
  </si>
  <si>
    <t>RSU Asri Purwakarta</t>
  </si>
  <si>
    <t>11</t>
  </si>
  <si>
    <t>Enti Evalina Silaen</t>
  </si>
  <si>
    <t>RS Pusdikkes</t>
  </si>
  <si>
    <t>12</t>
  </si>
  <si>
    <t>Gadis Maya Pahlawani</t>
  </si>
  <si>
    <t>RS Citra Arafiq Serang</t>
  </si>
  <si>
    <t>13</t>
  </si>
  <si>
    <t>Gayuh Afika Prahastiwi</t>
  </si>
  <si>
    <t>Rumah Sakit Royal Progress</t>
  </si>
  <si>
    <t>14</t>
  </si>
  <si>
    <t>Irda Nurdin</t>
  </si>
  <si>
    <t>RS Medirossa 2 Cibarusah</t>
  </si>
  <si>
    <t>15</t>
  </si>
  <si>
    <t>Keisha Halimatus Azka</t>
  </si>
  <si>
    <t>RS Khusus Bedah Columbia Asia Semarang</t>
  </si>
  <si>
    <t>16</t>
  </si>
  <si>
    <t>Linta Laili Rodhiana</t>
  </si>
  <si>
    <t>RSU Mitra Sehat</t>
  </si>
  <si>
    <t>DI Yogyakarta</t>
  </si>
  <si>
    <t>17</t>
  </si>
  <si>
    <t>Lutfiana Nurhayati</t>
  </si>
  <si>
    <t>RS AMC Muhammadiyah Yogyakarta</t>
  </si>
  <si>
    <t>18</t>
  </si>
  <si>
    <t>Mercy Palamba Rambung</t>
  </si>
  <si>
    <t>RSIA Vitalaya</t>
  </si>
  <si>
    <t>19</t>
  </si>
  <si>
    <t>Mila Arista</t>
  </si>
  <si>
    <t>RS Mitra Husada</t>
  </si>
  <si>
    <t>20</t>
  </si>
  <si>
    <t>Nadya Nur Annisa</t>
  </si>
  <si>
    <t>RS Cenka</t>
  </si>
  <si>
    <t>21</t>
  </si>
  <si>
    <t>Nugroho Agung Wibawa</t>
  </si>
  <si>
    <t>RS Santa Elisabeth Bantul</t>
  </si>
  <si>
    <t>22</t>
  </si>
  <si>
    <t>Osela Maharani</t>
  </si>
  <si>
    <t>RS Nasional Diponegoro</t>
  </si>
  <si>
    <t>23</t>
  </si>
  <si>
    <t>Rayani Manalu</t>
  </si>
  <si>
    <t>RS Martha Friska</t>
  </si>
  <si>
    <t>Sumatera Utara</t>
  </si>
  <si>
    <t>24</t>
  </si>
  <si>
    <t>Richa Rahmadani Amalia</t>
  </si>
  <si>
    <t>Rumah Sakit Mata SMEC Balikpapan</t>
  </si>
  <si>
    <t>Kalimantan Timur</t>
  </si>
  <si>
    <t>25</t>
  </si>
  <si>
    <t>Sultanah</t>
  </si>
  <si>
    <t>RS Syarif Hidayatullah</t>
  </si>
  <si>
    <t>26</t>
  </si>
  <si>
    <t>Syarif hidayatullah</t>
  </si>
  <si>
    <t>RSU Medimas Cirebon</t>
  </si>
  <si>
    <t>27</t>
  </si>
  <si>
    <t>Tanti Cahyani Syamsiah</t>
  </si>
  <si>
    <t>RS Kartika Kasih</t>
  </si>
  <si>
    <t>28</t>
  </si>
  <si>
    <t>Tiarani Augustine</t>
  </si>
  <si>
    <t>RS Unimedika Setu Bekasi</t>
  </si>
  <si>
    <t>29</t>
  </si>
  <si>
    <t>Yeriska</t>
  </si>
  <si>
    <t>RS Aqidah</t>
  </si>
  <si>
    <t>30</t>
  </si>
  <si>
    <t>Yuliana Dewi Rushita Sari</t>
  </si>
  <si>
    <t>RSU Mitra Paramedika</t>
  </si>
  <si>
    <t>Kelompok</t>
  </si>
  <si>
    <t>Kuantitatif (BENAR=25, SALAH=0)</t>
  </si>
  <si>
    <t>Kualitatif (BENAR=25, SALAH=0)</t>
  </si>
  <si>
    <t>Rekap</t>
  </si>
  <si>
    <t>Rata-rata</t>
  </si>
  <si>
    <t>Nilai Mengerjakan</t>
  </si>
  <si>
    <t>Bonus (Aktif Bertanya = 1 &amp; Aktif Menjawab=1)</t>
  </si>
  <si>
    <t>Presentasi (Nilai 3 KALAU TIDAK BACA, KALAU BACA 1)</t>
  </si>
  <si>
    <t>Nilai Total</t>
  </si>
  <si>
    <t>TOP UP</t>
  </si>
  <si>
    <t>Nilai Akhir</t>
  </si>
  <si>
    <t>No</t>
  </si>
  <si>
    <t>Nomor
Kelompok</t>
  </si>
  <si>
    <t>Nilai 
Kelompok
(Otomatis)
By Rumus IF</t>
  </si>
  <si>
    <t>Nilai
Individu</t>
  </si>
  <si>
    <t xml:space="preserve">Nilai
Total
Individu
</t>
  </si>
  <si>
    <r>
      <rPr>
        <rFont val="Century Gothic"/>
        <b/>
        <color theme="1"/>
        <sz val="11.0"/>
      </rPr>
      <t xml:space="preserve">Keterangan
</t>
    </r>
    <r>
      <rPr>
        <rFont val="Century Gothic"/>
        <b val="0"/>
        <color theme="1"/>
        <sz val="11.0"/>
      </rPr>
      <t>- Bertanya
- Menanggapi
- Menyanggah
- Presentasi
- Lain-Lain...</t>
    </r>
  </si>
  <si>
    <t>Nama</t>
  </si>
  <si>
    <t>Soal 1 (PERLU KOREKSI)</t>
  </si>
  <si>
    <t>Soal 2 (LAYAK  KLAIM)</t>
  </si>
  <si>
    <t>Soal 3 (PERLU KOREKSI)</t>
  </si>
  <si>
    <t>Soal 4  (LAYAK KLAIM)</t>
  </si>
  <si>
    <t>Soal 5 (LAYAK KLAIM)</t>
  </si>
  <si>
    <t>Soal 1 (TIDAK LAYAK)</t>
  </si>
  <si>
    <t>Soal 2 (PERLU KOREKSI)</t>
  </si>
  <si>
    <t>Soal 4 (PERLU KOREKSI)</t>
  </si>
  <si>
    <t>bertanya</t>
  </si>
  <si>
    <t>Kel 1</t>
  </si>
  <si>
    <t>bertanya menanggapi presentasi</t>
  </si>
  <si>
    <t>Kel 2</t>
  </si>
  <si>
    <t>Kel 3</t>
  </si>
  <si>
    <t>Kel 4</t>
  </si>
  <si>
    <t>Kel 5</t>
  </si>
  <si>
    <t>Kel 6</t>
  </si>
  <si>
    <t>menanggapi</t>
  </si>
  <si>
    <t xml:space="preserve">Note Fasil </t>
  </si>
  <si>
    <t>: Silakan isi jawaban peserta di bawah ini maka kolom penilaian diatas akan otomatis terisi, terima kasih , semangat ^_^</t>
  </si>
  <si>
    <t>NILAI REAL DARI HASIL SHEET JAWABAN PESERTA</t>
  </si>
  <si>
    <t>Hasil 
Penugasan</t>
  </si>
  <si>
    <t xml:space="preserve">Kuantitatif </t>
  </si>
  <si>
    <t>Kualitatif</t>
  </si>
  <si>
    <t xml:space="preserve">presentasi </t>
  </si>
  <si>
    <t>Soal 1 (PERLU KOREKSI=65)</t>
  </si>
  <si>
    <t>Soal 2 (LAYAK  KLAIM=80)</t>
  </si>
  <si>
    <t>Soal 3 (PERLU KOREKSI) = 78</t>
  </si>
  <si>
    <t>Soal 4  (LAYAK KLAIM = 85)</t>
  </si>
  <si>
    <t>Soal 5 (LAYAK KLAIM = 85)</t>
  </si>
  <si>
    <t>Soal 1 (TIDAK LAYAK = 40)</t>
  </si>
  <si>
    <t>Soal 2 (PERLU KOREKSI=65)</t>
  </si>
  <si>
    <t>Soal 3 (PERLU KOREKSI=70)</t>
  </si>
  <si>
    <t>Soal 4 (PERLU KOREKSI = 65)</t>
  </si>
  <si>
    <t>Soal 5 (LAYAK KLAIM=90)</t>
  </si>
  <si>
    <t>dr amri kohadi</t>
  </si>
  <si>
    <t>soal nomor 1</t>
  </si>
  <si>
    <t>membahas tidak menganalisa</t>
  </si>
  <si>
    <t>presentasi menanggapi</t>
  </si>
  <si>
    <t xml:space="preserve">yuliana : menanggapi </t>
  </si>
  <si>
    <t>dwi yustika : menanggapi</t>
  </si>
  <si>
    <t>gadis maya</t>
  </si>
  <si>
    <t>soal nomor 4</t>
  </si>
  <si>
    <t>membahas dan menganalisa</t>
  </si>
  <si>
    <t>irda : menanggapi</t>
  </si>
  <si>
    <t>dimas : menanggapi</t>
  </si>
  <si>
    <t xml:space="preserve"> </t>
  </si>
  <si>
    <t>Kategori Nilai</t>
  </si>
  <si>
    <t>Kuantitatif (dari 100)</t>
  </si>
  <si>
    <t>Kualitatif (dari 100)</t>
  </si>
  <si>
    <t>Tindakan</t>
  </si>
  <si>
    <t>Rumus</t>
  </si>
  <si>
    <t>Layak Klaim</t>
  </si>
  <si>
    <t>≥ 80</t>
  </si>
  <si>
    <t>Klaim dapat diajukan tanpa koreksi.</t>
  </si>
  <si>
    <r>
      <rPr>
        <rFont val="Century Gothic"/>
        <color theme="1"/>
        <sz val="11.0"/>
      </rPr>
      <t>IF(</t>
    </r>
    <r>
      <rPr>
        <rFont val="Century Gothic"/>
        <color rgb="FFFF0000"/>
        <sz val="11.0"/>
      </rPr>
      <t>Nomor_Baris</t>
    </r>
    <r>
      <rPr>
        <rFont val="Century Gothic"/>
        <color theme="1"/>
        <sz val="11.0"/>
      </rPr>
      <t>&gt;=80;25;0)</t>
    </r>
  </si>
  <si>
    <t>Perlu Koreksi</t>
  </si>
  <si>
    <t>60 - 79</t>
  </si>
  <si>
    <t>Klaim harus dikoreksi dan diaudit ulang sebelum diajukan.</t>
  </si>
  <si>
    <r>
      <rPr>
        <rFont val="Century Gothic"/>
        <color theme="1"/>
        <sz val="11.0"/>
      </rPr>
      <t>IF(AND(</t>
    </r>
    <r>
      <rPr>
        <rFont val="Century Gothic"/>
        <color rgb="FFFF0000"/>
        <sz val="11.0"/>
      </rPr>
      <t>Nomor_Baris</t>
    </r>
    <r>
      <rPr>
        <rFont val="Century Gothic"/>
        <color theme="1"/>
        <sz val="11.0"/>
      </rPr>
      <t>&gt;=60;B14&lt;=79);25;0)</t>
    </r>
  </si>
  <si>
    <t>Tidak Layak</t>
  </si>
  <si>
    <t>&lt; 60</t>
  </si>
  <si>
    <t>Klaim berisiko tinggi ditolak. Perlu pemeriksaan mendalam dan mungkin tidak diajukan.</t>
  </si>
  <si>
    <r>
      <rPr>
        <rFont val="Century Gothic"/>
        <color theme="1"/>
        <sz val="11.0"/>
      </rPr>
      <t>IF(</t>
    </r>
    <r>
      <rPr>
        <rFont val="Century Gothic"/>
        <color rgb="FFFF0000"/>
        <sz val="11.0"/>
      </rPr>
      <t>Nomor_Baris</t>
    </r>
    <r>
      <rPr>
        <rFont val="Century Gothic"/>
        <color theme="1"/>
        <sz val="11.0"/>
      </rPr>
      <t>&lt;60,25,0)</t>
    </r>
  </si>
  <si>
    <t>bertanya menaggapi</t>
  </si>
  <si>
    <t>Note :</t>
  </si>
  <si>
    <r>
      <rPr>
        <rFont val="Century Gothic"/>
        <color rgb="FF0563C1"/>
        <sz val="11.0"/>
        <u/>
      </rPr>
      <t xml:space="preserve">Sumber Data dari : ( </t>
    </r>
    <r>
      <rPr>
        <rFont val="Century Gothic"/>
        <color rgb="FF1155CC"/>
        <sz val="11.0"/>
        <u/>
      </rPr>
      <t>https://docs.google.com/spreadsheets/d/1FoJPr4VzSwNU02fwkNVdEBVT4Tlw9m5VX4GQT2cAjjY/edit?resourcekey=&amp;gid=1678037206#gid=1678037206</t>
    </r>
    <r>
      <rPr>
        <rFont val="Century Gothic"/>
        <color rgb="FF0563C1"/>
        <sz val="11.0"/>
        <u/>
      </rPr>
      <t xml:space="preserve"> )</t>
    </r>
  </si>
  <si>
    <t>REKAPITULASI NILAI KELOMPOK BY G-FORM</t>
  </si>
  <si>
    <t>JAWABAN PER SOAL</t>
  </si>
  <si>
    <t>NILAI 
KELOMPOK
(G-FORM)</t>
  </si>
  <si>
    <t>TOP UP
NILAI KERJA
NILAI PRESENTASI</t>
  </si>
  <si>
    <t>NILAI 
KELOMPOK 
TOTAL</t>
  </si>
  <si>
    <t>SOAL 1</t>
  </si>
  <si>
    <t>SOAL 2</t>
  </si>
  <si>
    <t>SOAL 3</t>
  </si>
  <si>
    <t>SOAL 4</t>
  </si>
  <si>
    <t>SOAL 5</t>
  </si>
  <si>
    <t>SOAL 6</t>
  </si>
  <si>
    <t>SOAL 7</t>
  </si>
  <si>
    <t>SOAL 8</t>
  </si>
  <si>
    <t>SOAL 9</t>
  </si>
  <si>
    <t>SOAL 10</t>
  </si>
  <si>
    <t>I13.2;R57.0;L03.1;I80.1;N18.5;I47.2;D69.6</t>
  </si>
  <si>
    <t>C61;J96.0;J18.9;A41.5;I12.0;D63.0;N18.5</t>
  </si>
  <si>
    <t>O14.1;O42.0;O24.2;O60.3;O82.1;Z37.0</t>
  </si>
  <si>
    <t>I13.2;N18.5;D63.8;T82.7;E11.9;Y83.1</t>
  </si>
  <si>
    <t>I63.5;-;G81.9</t>
  </si>
  <si>
    <t>T83.1;N20.2;N20.2;N21.0;NL12;NL14;NL15</t>
  </si>
  <si>
    <t>A15.12;U88;U83.3;U84.33</t>
  </si>
  <si>
    <t>Z09.8;K01.17;E11.9;K05.30;KG48</t>
  </si>
  <si>
    <t>H26.1;W20.03;E11.9;I10;HL00</t>
  </si>
  <si>
    <t>I67.6</t>
  </si>
  <si>
    <t>KELOMPOK 1</t>
  </si>
  <si>
    <t>KELOMPOK 2</t>
  </si>
  <si>
    <t>KELOMPOK 3</t>
  </si>
  <si>
    <t>KELOMPOK 4</t>
  </si>
  <si>
    <t>KELOMPOK 5</t>
  </si>
  <si>
    <t>KELOMPOK 6</t>
  </si>
  <si>
    <t>REKAPITULASI NILAI INDIVIDU ANGKATAN 21</t>
  </si>
  <si>
    <r>
      <rPr>
        <rFont val="Century Gothic"/>
        <b/>
        <color theme="1"/>
        <sz val="11.0"/>
      </rPr>
      <t xml:space="preserve">Keterangan
</t>
    </r>
    <r>
      <rPr>
        <rFont val="Century Gothic"/>
        <b val="0"/>
        <color theme="1"/>
        <sz val="11.0"/>
      </rPr>
      <t>- Bertanya
- Menanggapi
- Menyanggah
- Presentasi
- Lain-Lain...</t>
    </r>
  </si>
  <si>
    <t>menanggapi 2</t>
  </si>
  <si>
    <t>presentasi</t>
  </si>
  <si>
    <t>Bertanya, menanggapi 2</t>
  </si>
  <si>
    <t>menanggapi presentasi</t>
  </si>
  <si>
    <t>Menanggapi, menanggapi 3</t>
  </si>
  <si>
    <t>menaggapi</t>
  </si>
  <si>
    <t>Presentasi, menanggapi 5</t>
  </si>
  <si>
    <t>menanngapi presentasi</t>
  </si>
  <si>
    <t>Presentasi menanggapi</t>
  </si>
  <si>
    <t>menanggpi</t>
  </si>
  <si>
    <t>Bertanya, Menanggapi, presentasi</t>
  </si>
  <si>
    <t>menanggapi, bertanya, presentasi, menyanggah</t>
  </si>
  <si>
    <t>note  : presentasi 3</t>
  </si>
  <si>
    <t>menanggapi menyanggah</t>
  </si>
  <si>
    <t>1,3, 6 bonus</t>
  </si>
  <si>
    <t>https://docs.google.com/spreadsheets/d/1w2ZJIlRL4CBH9cH2ptk8NJ7p36ujSZKQGT7C2kgI9UA/edit?gid=1915139668#gid=1915139668</t>
  </si>
  <si>
    <t>NILAI 
KELOMPOK</t>
  </si>
  <si>
    <t>TOP UP
(NILAI KERJA
/PRESENTASI)</t>
  </si>
  <si>
    <t>88.72;99.62;88.77;99.05;96.6;89.52;87.44;90599;93.96</t>
  </si>
  <si>
    <t>60.29;39.95;99.04;88.75;96.04;96.71;89.52;90599;90.52;90.43;87.44;99.21;91.3600</t>
  </si>
  <si>
    <t>74.1;90599;75.34</t>
  </si>
  <si>
    <t>39.95;99.04;88.72;87.44;90599;89.52;99.21;99.17</t>
  </si>
  <si>
    <t>88.41;00.61;00.40;99.10;87.03;87.44;88.72;90599;93.17</t>
  </si>
  <si>
    <t>56.0;98.51;87.71;97.62;98.51;57.0</t>
  </si>
  <si>
    <t>34.04;87.44;90.42;93.96;90.47</t>
  </si>
  <si>
    <t>89.070;89.52;87.44;90599</t>
  </si>
  <si>
    <t>13.41;13.71</t>
  </si>
  <si>
    <t>88.91;99290</t>
  </si>
  <si>
    <t>Nilai Bertanya
Menanggapi
Menyanggah</t>
  </si>
  <si>
    <t>Nilai Presentasi</t>
  </si>
  <si>
    <r>
      <rPr>
        <rFont val="Calibri"/>
        <b/>
        <color theme="1"/>
        <sz val="11.0"/>
      </rPr>
      <t xml:space="preserve">soal 1
</t>
    </r>
    <r>
      <rPr>
        <rFont val="Calibri"/>
        <b/>
        <color rgb="FFFF0000"/>
        <sz val="11.0"/>
      </rPr>
      <t>(2 kode)</t>
    </r>
    <r>
      <rPr>
        <rFont val="Calibri"/>
        <b/>
        <color theme="1"/>
        <sz val="11.0"/>
      </rPr>
      <t xml:space="preserve">
Uji Fungsi (93.01) dan Diatermy (93.34)</t>
    </r>
  </si>
  <si>
    <r>
      <rPr>
        <rFont val="Calibri"/>
        <b/>
        <color theme="1"/>
        <sz val="11.0"/>
      </rPr>
      <t xml:space="preserve">soal 2
</t>
    </r>
    <r>
      <rPr>
        <rFont val="Calibri"/>
        <b/>
        <color rgb="FFFF0000"/>
        <sz val="11.0"/>
      </rPr>
      <t>(1 kode)</t>
    </r>
    <r>
      <rPr>
        <rFont val="Calibri"/>
        <b/>
        <color theme="1"/>
        <sz val="11.0"/>
      </rPr>
      <t xml:space="preserve">
Outcome Of Delivery (Z37.3)</t>
    </r>
  </si>
  <si>
    <r>
      <rPr>
        <rFont val="Calibri"/>
        <b/>
        <color theme="1"/>
        <sz val="11.0"/>
      </rPr>
      <t xml:space="preserve">soal 3
</t>
    </r>
    <r>
      <rPr>
        <rFont val="Calibri"/>
        <b/>
        <color rgb="FFFF0000"/>
        <sz val="11.0"/>
      </rPr>
      <t>(1 kode)</t>
    </r>
    <r>
      <rPr>
        <rFont val="Calibri"/>
        <b/>
        <color theme="1"/>
        <sz val="11.0"/>
      </rPr>
      <t xml:space="preserve">
DU = E11.5, atau jika ICD 9 = 86.28 dan DU nya= J15.0, setelah konfirmasi DPJP</t>
    </r>
  </si>
  <si>
    <r>
      <rPr>
        <rFont val="Calibri"/>
        <b/>
        <color theme="1"/>
        <sz val="11.0"/>
      </rPr>
      <t xml:space="preserve">soal 4
</t>
    </r>
    <r>
      <rPr>
        <rFont val="Calibri"/>
        <b/>
        <color rgb="FFFF0000"/>
        <sz val="11.0"/>
      </rPr>
      <t>(2 kode)</t>
    </r>
    <r>
      <rPr>
        <rFont val="Calibri"/>
        <b/>
        <color theme="1"/>
        <sz val="11.0"/>
      </rPr>
      <t xml:space="preserve">
Umur (rubah jadi &gt; 30 tahun lebih dan Lateralisasi (HL00) atau DU H26, tanpa merubah umur pasien, Setelah Konfirmasi DPJP</t>
    </r>
  </si>
  <si>
    <r>
      <rPr>
        <rFont val="Calibri"/>
        <b/>
        <color theme="1"/>
        <sz val="11.0"/>
      </rPr>
      <t xml:space="preserve">soal 5
</t>
    </r>
    <r>
      <rPr>
        <rFont val="Calibri"/>
        <b/>
        <color rgb="FFFF0000"/>
        <sz val="11.0"/>
      </rPr>
      <t>(1 kode)</t>
    </r>
    <r>
      <rPr>
        <rFont val="Calibri"/>
        <b/>
        <color theme="1"/>
        <sz val="11.0"/>
      </rPr>
      <t xml:space="preserve">
Drug Type (U83.3)</t>
    </r>
  </si>
  <si>
    <r>
      <rPr>
        <rFont val="Calibri"/>
        <b/>
        <color theme="1"/>
        <sz val="11.0"/>
      </rPr>
      <t xml:space="preserve">soal 6
</t>
    </r>
    <r>
      <rPr>
        <rFont val="Calibri"/>
        <b/>
        <color rgb="FFFF0000"/>
        <sz val="11.0"/>
      </rPr>
      <t>(1 kode)</t>
    </r>
    <r>
      <rPr>
        <rFont val="Calibri"/>
        <b/>
        <color theme="1"/>
        <sz val="11.0"/>
      </rPr>
      <t xml:space="preserve">
Procedure on Single Vessel (00.40)</t>
    </r>
  </si>
  <si>
    <t>topup</t>
  </si>
  <si>
    <t>Total</t>
  </si>
  <si>
    <t>Presentasi</t>
  </si>
  <si>
    <t>Penanggap</t>
  </si>
  <si>
    <r>
      <rPr>
        <rFont val="Century Gothic"/>
        <b/>
        <color theme="1"/>
        <sz val="11.0"/>
      </rPr>
      <t xml:space="preserve">Keterangan
</t>
    </r>
    <r>
      <rPr>
        <rFont val="Century Gothic"/>
        <b val="0"/>
        <color theme="1"/>
        <sz val="11.0"/>
      </rPr>
      <t>- Bertanya
- Menanggapi
- Menyanggah
- Presentasi
- Lain-Lain...</t>
    </r>
  </si>
  <si>
    <t>Jawaban Kel 1</t>
  </si>
  <si>
    <t xml:space="preserve">93.01;93.34
</t>
  </si>
  <si>
    <t>Z37.3</t>
  </si>
  <si>
    <t>j15.0;E11.5</t>
  </si>
  <si>
    <t xml:space="preserve">H26.8
</t>
  </si>
  <si>
    <t>NO SITB</t>
  </si>
  <si>
    <t>00.40</t>
  </si>
  <si>
    <t>Jumlah jawaban Benar</t>
  </si>
  <si>
    <t>Nilai Kel 1</t>
  </si>
  <si>
    <t>Jawaban Kel 2</t>
  </si>
  <si>
    <t>H26.2</t>
  </si>
  <si>
    <t xml:space="preserve">U83.3 </t>
  </si>
  <si>
    <t>Nilai Kel 2</t>
  </si>
  <si>
    <t>Jawaban Kel 3</t>
  </si>
  <si>
    <t xml:space="preserve">93.39, 93.34
</t>
  </si>
  <si>
    <t>Z37.2</t>
  </si>
  <si>
    <t>E11.5; 86.22</t>
  </si>
  <si>
    <t>H26.9</t>
  </si>
  <si>
    <t>U84.31 dihapus</t>
  </si>
  <si>
    <t>00.66</t>
  </si>
  <si>
    <t>Nilai Kel 3</t>
  </si>
  <si>
    <t>Jawaban Kel 4</t>
  </si>
  <si>
    <t>belum selesai</t>
  </si>
  <si>
    <t>H26.0</t>
  </si>
  <si>
    <t>SITB</t>
  </si>
  <si>
    <t>Nilai Kel 4</t>
  </si>
  <si>
    <t>Jawaban Kel 5</t>
  </si>
  <si>
    <t>kroscek ke dpjp+casemix</t>
  </si>
  <si>
    <t>-</t>
  </si>
  <si>
    <t>Nilai Kel 5</t>
  </si>
  <si>
    <t>Jawaban Kel 6</t>
  </si>
  <si>
    <t xml:space="preserve">H26.0 
</t>
  </si>
  <si>
    <t>U83.3</t>
  </si>
  <si>
    <t>Nilai Kel 6</t>
  </si>
  <si>
    <t>Rata2</t>
  </si>
  <si>
    <t>1 kode</t>
  </si>
  <si>
    <t>soal 1</t>
  </si>
  <si>
    <t>soal 2</t>
  </si>
  <si>
    <t>soal 3</t>
  </si>
  <si>
    <t>soal 4</t>
  </si>
  <si>
    <t>soal 5</t>
  </si>
  <si>
    <t>soal 6</t>
  </si>
  <si>
    <t>Tanggapan</t>
  </si>
  <si>
    <r>
      <rPr>
        <rFont val="Century Gothic"/>
        <b/>
        <color theme="1"/>
        <sz val="11.0"/>
      </rPr>
      <t xml:space="preserve">Keterangan
</t>
    </r>
    <r>
      <rPr>
        <rFont val="Century Gothic"/>
        <b val="0"/>
        <color theme="1"/>
        <sz val="11.0"/>
      </rPr>
      <t>- Bertanya
- Menanggapi
- Menyanggah
- Presentasi
- Lain-Lain...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</si>
</sst>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0.0"/>
    <numFmt numFmtId="166" formatCode="#,##0.0"/>
    <numFmt numFmtId="167" formatCode="_-* #,##0.0_-;\-* #,##0.0_-;_-* &quot;-&quot;??.0_-;_-@"/>
  </numFmts>
  <fonts count="37">
    <font>
      <sz val="11.0"/>
      <color theme="1"/>
      <name val="Calibri"/>
      <scheme val="minor"/>
    </font>
    <font>
      <b/>
      <sz val="15.0"/>
      <color theme="1"/>
      <name val="Century Gothic"/>
    </font>
    <font>
      <sz val="11.0"/>
      <color theme="1"/>
      <name val="Calibri"/>
    </font>
    <font>
      <b/>
      <sz val="11.0"/>
      <color rgb="FFFFFFFF"/>
      <name val="Century Gothic"/>
    </font>
    <font>
      <b/>
      <sz val="14.0"/>
      <color theme="1"/>
      <name val="Century Gothic"/>
    </font>
    <font>
      <sz val="14.0"/>
      <color theme="1"/>
      <name val="Century Gothic"/>
    </font>
    <font>
      <b/>
      <sz val="12.0"/>
      <color rgb="FF000000"/>
      <name val="Century Gothic"/>
    </font>
    <font>
      <sz val="11.0"/>
      <color theme="1"/>
      <name val="Century Gothic"/>
    </font>
    <font>
      <color theme="1"/>
      <name val="Calibri"/>
      <scheme val="minor"/>
    </font>
    <font>
      <b/>
      <sz val="11.0"/>
      <color theme="1"/>
      <name val="Century Gothic"/>
    </font>
    <font/>
    <font>
      <b/>
      <sz val="11.0"/>
      <color rgb="FFFF0000"/>
      <name val="Century Gothic"/>
    </font>
    <font>
      <b/>
      <sz val="13.0"/>
      <color theme="1"/>
      <name val="Century Gothic"/>
    </font>
    <font>
      <b/>
      <sz val="8.0"/>
      <color theme="1"/>
      <name val="Century Gothic"/>
    </font>
    <font>
      <sz val="11.0"/>
      <color theme="1"/>
      <name val="Arial"/>
    </font>
    <font>
      <sz val="13.0"/>
      <color theme="1"/>
      <name val="Century Gothic"/>
    </font>
    <font>
      <b/>
      <sz val="12.0"/>
      <color theme="1"/>
      <name val="Century Gothic"/>
    </font>
    <font>
      <sz val="11.0"/>
      <color rgb="FF000000"/>
      <name val="Century Gothic"/>
    </font>
    <font>
      <b/>
      <sz val="12.0"/>
      <color rgb="FF0F1115"/>
      <name val="Quote-cjk-patch"/>
    </font>
    <font>
      <sz val="12.0"/>
      <color rgb="FF0F1115"/>
      <name val="Arial"/>
    </font>
    <font>
      <sz val="12.0"/>
      <color rgb="FF0F1115"/>
      <name val="Quote-cjk-patch"/>
    </font>
    <font>
      <u/>
      <sz val="11.0"/>
      <color rgb="FF0563C1"/>
      <name val="Century Gothic"/>
    </font>
    <font>
      <sz val="18.0"/>
      <color theme="1"/>
      <name val="Century Gothic"/>
    </font>
    <font>
      <sz val="12.0"/>
      <color theme="1"/>
      <name val="Century Gothic"/>
    </font>
    <font>
      <color theme="1"/>
      <name val="Century Gothic"/>
    </font>
    <font>
      <u/>
      <sz val="11.0"/>
      <color rgb="FF0563C1"/>
      <name val="Calibri"/>
    </font>
    <font>
      <color rgb="FF434343"/>
      <name val="Roboto"/>
    </font>
    <font>
      <sz val="11.0"/>
      <color rgb="FF434343"/>
      <name val="Century Gothic"/>
    </font>
    <font>
      <color rgb="FF3266D5"/>
      <name val="Inconsolata"/>
    </font>
    <font>
      <color rgb="FF000000"/>
      <name val="Roboto"/>
    </font>
    <font>
      <b/>
      <sz val="11.0"/>
      <color theme="1"/>
      <name val="Calibri"/>
    </font>
    <font>
      <b/>
      <sz val="11.0"/>
      <color rgb="FF0070C0"/>
      <name val="Calibri"/>
    </font>
    <font>
      <b/>
      <sz val="11.0"/>
      <color rgb="FFFF0000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FF0000"/>
      <name val="Arial"/>
    </font>
    <font>
      <sz val="11.0"/>
      <color rgb="FF0070C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E4872D"/>
        <bgColor rgb="FFE4872D"/>
      </patternFill>
    </fill>
    <fill>
      <patternFill patternType="solid">
        <fgColor rgb="FFBFBFBF"/>
        <bgColor rgb="FFBFBFBF"/>
      </patternFill>
    </fill>
    <fill>
      <patternFill patternType="solid">
        <fgColor rgb="FFD2DB2F"/>
        <bgColor rgb="FFD2DB2F"/>
      </patternFill>
    </fill>
    <fill>
      <patternFill patternType="solid">
        <fgColor rgb="FFD9D9D9"/>
        <bgColor rgb="FFD9D9D9"/>
      </patternFill>
    </fill>
    <fill>
      <patternFill patternType="solid">
        <fgColor rgb="FF63625E"/>
        <bgColor rgb="FF63625E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E5E5E5"/>
        <bgColor rgb="FFE5E5E5"/>
      </patternFill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7377"/>
        <bgColor rgb="FF007377"/>
      </patternFill>
    </fill>
    <fill>
      <patternFill patternType="solid">
        <fgColor rgb="FF43B178"/>
        <bgColor rgb="FF43B178"/>
      </patternFill>
    </fill>
    <fill>
      <patternFill patternType="solid">
        <fgColor rgb="FFF7F7C2"/>
        <bgColor rgb="FFF7F7C2"/>
      </patternFill>
    </fill>
    <fill>
      <patternFill patternType="solid">
        <fgColor rgb="FFFCE5CD"/>
        <bgColor rgb="FFFCE5C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CCCCCC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4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left" vertical="bottom"/>
    </xf>
    <xf borderId="0" fillId="2" fontId="1" numFmtId="0" xfId="0" applyAlignment="1" applyFont="1">
      <alignment readingOrder="0" vertical="bottom"/>
    </xf>
    <xf borderId="0" fillId="3" fontId="3" numFmtId="0" xfId="0" applyAlignment="1" applyFill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quotePrefix="1"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49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horizontal="center" vertical="bottom"/>
    </xf>
    <xf borderId="0" fillId="0" fontId="8" numFmtId="0" xfId="0" applyAlignment="1" applyFont="1">
      <alignment readingOrder="0"/>
    </xf>
    <xf borderId="2" fillId="0" fontId="9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4" fillId="0" fontId="10" numFmtId="0" xfId="0" applyBorder="1" applyFont="1"/>
    <xf borderId="5" fillId="0" fontId="10" numFmtId="0" xfId="0" applyBorder="1" applyFont="1"/>
    <xf borderId="6" fillId="0" fontId="9" numFmtId="0" xfId="0" applyAlignment="1" applyBorder="1" applyFont="1">
      <alignment horizontal="center" shrinkToFit="0" vertical="bottom" wrapText="1"/>
    </xf>
    <xf borderId="7" fillId="0" fontId="11" numFmtId="0" xfId="0" applyAlignment="1" applyBorder="1" applyFont="1">
      <alignment horizontal="center" shrinkToFit="0" vertical="bottom" wrapText="1"/>
    </xf>
    <xf borderId="7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8" fillId="2" fontId="7" numFmtId="0" xfId="0" applyAlignment="1" applyBorder="1" applyFont="1">
      <alignment horizontal="center" shrinkToFit="0" vertical="bottom" wrapText="1"/>
    </xf>
    <xf borderId="0" fillId="0" fontId="2" numFmtId="0" xfId="0" applyFont="1"/>
    <xf borderId="1" fillId="4" fontId="9" numFmtId="0" xfId="0" applyAlignment="1" applyBorder="1" applyFill="1" applyFont="1">
      <alignment horizontal="center" vertical="top"/>
    </xf>
    <xf borderId="1" fillId="5" fontId="9" numFmtId="0" xfId="0" applyAlignment="1" applyBorder="1" applyFill="1" applyFont="1">
      <alignment horizontal="center" vertical="top"/>
    </xf>
    <xf borderId="1" fillId="6" fontId="12" numFmtId="0" xfId="0" applyAlignment="1" applyBorder="1" applyFill="1" applyFont="1">
      <alignment horizontal="center" vertical="top"/>
    </xf>
    <xf borderId="1" fillId="7" fontId="9" numFmtId="0" xfId="0" applyAlignment="1" applyBorder="1" applyFill="1" applyFont="1">
      <alignment horizontal="center" vertical="top"/>
    </xf>
    <xf borderId="1" fillId="8" fontId="9" numFmtId="0" xfId="0" applyAlignment="1" applyBorder="1" applyFill="1" applyFont="1">
      <alignment horizontal="center" vertical="top"/>
    </xf>
    <xf borderId="0" fillId="8" fontId="9" numFmtId="0" xfId="0" applyAlignment="1" applyFont="1">
      <alignment horizontal="center" vertical="top"/>
    </xf>
    <xf borderId="9" fillId="0" fontId="10" numFmtId="0" xfId="0" applyBorder="1" applyFont="1"/>
    <xf borderId="10" fillId="0" fontId="13" numFmtId="0" xfId="0" applyAlignment="1" applyBorder="1" applyFont="1">
      <alignment horizontal="center" shrinkToFit="0" vertical="bottom" wrapText="1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0" fillId="0" fontId="2" numFmtId="0" xfId="0" applyAlignment="1" applyFont="1">
      <alignment readingOrder="0"/>
    </xf>
    <xf borderId="1" fillId="9" fontId="7" numFmtId="0" xfId="0" applyAlignment="1" applyBorder="1" applyFill="1" applyFont="1">
      <alignment horizontal="center" vertical="top"/>
    </xf>
    <xf borderId="1" fillId="0" fontId="7" numFmtId="3" xfId="0" applyAlignment="1" applyBorder="1" applyFont="1" applyNumberFormat="1">
      <alignment horizontal="center" vertical="top"/>
    </xf>
    <xf borderId="1" fillId="10" fontId="7" numFmtId="164" xfId="0" applyAlignment="1" applyBorder="1" applyFill="1" applyFont="1" applyNumberFormat="1">
      <alignment horizontal="center" shrinkToFit="0" vertical="top" wrapText="0"/>
    </xf>
    <xf borderId="1" fillId="10" fontId="14" numFmtId="0" xfId="0" applyAlignment="1" applyBorder="1" applyFont="1">
      <alignment horizontal="right" vertical="top"/>
    </xf>
    <xf borderId="1" fillId="9" fontId="7" numFmtId="164" xfId="0" applyAlignment="1" applyBorder="1" applyFont="1" applyNumberFormat="1">
      <alignment horizontal="right" vertical="top"/>
    </xf>
    <xf borderId="1" fillId="9" fontId="2" numFmtId="0" xfId="0" applyAlignment="1" applyBorder="1" applyFont="1">
      <alignment readingOrder="0" vertical="top"/>
    </xf>
    <xf borderId="1" fillId="0" fontId="7" numFmtId="0" xfId="0" applyAlignment="1" applyBorder="1" applyFont="1">
      <alignment vertical="top"/>
    </xf>
    <xf borderId="1" fillId="0" fontId="7" numFmtId="49" xfId="0" applyAlignment="1" applyBorder="1" applyFont="1" applyNumberFormat="1">
      <alignment vertical="top"/>
    </xf>
    <xf borderId="14" fillId="2" fontId="7" numFmtId="0" xfId="0" applyAlignment="1" applyBorder="1" applyFont="1">
      <alignment horizontal="center" shrinkToFit="0" vertical="bottom" wrapText="1"/>
    </xf>
    <xf borderId="15" fillId="0" fontId="7" numFmtId="0" xfId="0" applyAlignment="1" applyBorder="1" applyFont="1">
      <alignment horizontal="center" vertical="top"/>
    </xf>
    <xf borderId="16" fillId="0" fontId="7" numFmtId="0" xfId="0" applyAlignment="1" applyBorder="1" applyFont="1">
      <alignment horizontal="center" shrinkToFit="0" vertical="bottom" wrapText="1"/>
    </xf>
    <xf borderId="17" fillId="0" fontId="9" numFmtId="0" xfId="0" applyAlignment="1" applyBorder="1" applyFont="1">
      <alignment horizontal="center" shrinkToFit="0" vertical="bottom" wrapText="1"/>
    </xf>
    <xf borderId="17" fillId="0" fontId="7" numFmtId="0" xfId="0" applyAlignment="1" applyBorder="1" applyFont="1">
      <alignment horizontal="center" shrinkToFit="0" vertical="bottom" wrapText="1"/>
    </xf>
    <xf borderId="17" fillId="0" fontId="7" numFmtId="0" xfId="0" applyAlignment="1" applyBorder="1" applyFont="1">
      <alignment horizontal="center" readingOrder="0" vertical="bottom"/>
    </xf>
    <xf borderId="18" fillId="0" fontId="7" numFmtId="0" xfId="0" applyAlignment="1" applyBorder="1" applyFont="1">
      <alignment horizontal="center" vertical="bottom"/>
    </xf>
    <xf borderId="3" fillId="0" fontId="7" numFmtId="165" xfId="0" applyAlignment="1" applyBorder="1" applyFont="1" applyNumberFormat="1">
      <alignment horizontal="center" shrinkToFit="0" vertical="bottom" wrapText="1"/>
    </xf>
    <xf borderId="1" fillId="0" fontId="7" numFmtId="165" xfId="0" applyAlignment="1" applyBorder="1" applyFont="1" applyNumberFormat="1">
      <alignment horizontal="center" vertical="bottom"/>
    </xf>
    <xf borderId="1" fillId="2" fontId="7" numFmtId="165" xfId="0" applyAlignment="1" applyBorder="1" applyFont="1" applyNumberFormat="1">
      <alignment horizontal="center" vertical="bottom"/>
    </xf>
    <xf borderId="1" fillId="11" fontId="7" numFmtId="164" xfId="0" applyAlignment="1" applyBorder="1" applyFill="1" applyFont="1" applyNumberFormat="1">
      <alignment horizontal="center" shrinkToFit="0" vertical="top" wrapText="0"/>
    </xf>
    <xf borderId="1" fillId="11" fontId="2" numFmtId="0" xfId="0" applyAlignment="1" applyBorder="1" applyFont="1">
      <alignment readingOrder="0" vertical="top"/>
    </xf>
    <xf borderId="1" fillId="10" fontId="2" numFmtId="0" xfId="0" applyAlignment="1" applyBorder="1" applyFont="1">
      <alignment vertical="top"/>
    </xf>
    <xf borderId="1" fillId="9" fontId="2" numFmtId="0" xfId="0" applyAlignment="1" applyBorder="1" applyFont="1">
      <alignment vertical="top"/>
    </xf>
    <xf borderId="18" fillId="0" fontId="7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vertical="top"/>
    </xf>
    <xf borderId="1" fillId="10" fontId="2" numFmtId="0" xfId="0" applyAlignment="1" applyBorder="1" applyFont="1">
      <alignment readingOrder="0" vertical="top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center" vertical="bottom"/>
    </xf>
    <xf borderId="0" fillId="2" fontId="15" numFmtId="0" xfId="0" applyAlignment="1" applyFont="1">
      <alignment horizontal="left" vertical="bottom"/>
    </xf>
    <xf borderId="0" fillId="2" fontId="7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8" fillId="0" fontId="9" numFmtId="0" xfId="0" applyAlignment="1" applyBorder="1" applyFont="1">
      <alignment horizontal="center" vertical="top"/>
    </xf>
    <xf borderId="19" fillId="0" fontId="9" numFmtId="0" xfId="0" applyAlignment="1" applyBorder="1" applyFont="1">
      <alignment horizontal="center" vertical="top"/>
    </xf>
    <xf borderId="20" fillId="0" fontId="10" numFmtId="0" xfId="0" applyBorder="1" applyFont="1"/>
    <xf borderId="21" fillId="0" fontId="10" numFmtId="0" xfId="0" applyBorder="1" applyFont="1"/>
    <xf borderId="0" fillId="12" fontId="7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22" fillId="0" fontId="10" numFmtId="0" xfId="0" applyBorder="1" applyFont="1"/>
    <xf borderId="11" fillId="0" fontId="9" numFmtId="0" xfId="0" applyAlignment="1" applyBorder="1" applyFont="1">
      <alignment horizontal="center" shrinkToFit="0" vertical="top" wrapText="1"/>
    </xf>
    <xf borderId="11" fillId="0" fontId="9" numFmtId="0" xfId="0" applyAlignment="1" applyBorder="1" applyFont="1">
      <alignment horizontal="center" shrinkToFit="0" vertical="bottom" wrapText="1"/>
    </xf>
    <xf borderId="0" fillId="13" fontId="7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1"/>
    </xf>
    <xf quotePrefix="1" borderId="1" fillId="0" fontId="9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center" vertical="top"/>
    </xf>
    <xf borderId="1" fillId="2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readingOrder="0" vertical="top"/>
    </xf>
    <xf borderId="0" fillId="13" fontId="17" numFmtId="0" xfId="0" applyAlignment="1" applyFont="1">
      <alignment horizontal="center" readingOrder="0" vertical="bottom"/>
    </xf>
    <xf borderId="1" fillId="9" fontId="7" numFmtId="0" xfId="0" applyAlignment="1" applyBorder="1" applyFont="1">
      <alignment horizontal="center" vertical="top"/>
    </xf>
    <xf borderId="1" fillId="9" fontId="7" numFmtId="164" xfId="0" applyAlignment="1" applyBorder="1" applyFont="1" applyNumberFormat="1">
      <alignment horizontal="center" shrinkToFit="0" vertical="top" wrapText="0"/>
    </xf>
    <xf borderId="1" fillId="9" fontId="2" numFmtId="0" xfId="0" applyAlignment="1" applyBorder="1" applyFont="1">
      <alignment vertical="top"/>
    </xf>
    <xf borderId="1" fillId="9" fontId="7" numFmtId="164" xfId="0" applyAlignment="1" applyBorder="1" applyFont="1" applyNumberFormat="1">
      <alignment horizontal="right" vertical="top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  <xf borderId="23" fillId="14" fontId="18" numFmtId="0" xfId="0" applyAlignment="1" applyBorder="1" applyFill="1" applyFont="1">
      <alignment vertical="bottom"/>
    </xf>
    <xf borderId="23" fillId="14" fontId="18" numFmtId="0" xfId="0" applyAlignment="1" applyBorder="1" applyFont="1">
      <alignment shrinkToFit="0" vertical="bottom" wrapText="1"/>
    </xf>
    <xf borderId="23" fillId="14" fontId="1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23" fillId="14" fontId="19" numFmtId="0" xfId="0" applyAlignment="1" applyBorder="1" applyFont="1">
      <alignment vertical="bottom"/>
    </xf>
    <xf borderId="23" fillId="14" fontId="20" numFmtId="0" xfId="0" applyAlignment="1" applyBorder="1" applyFont="1">
      <alignment vertical="bottom"/>
    </xf>
    <xf borderId="23" fillId="14" fontId="20" numFmtId="0" xfId="0" applyAlignment="1" applyBorder="1" applyFont="1">
      <alignment shrinkToFit="0" vertical="bottom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2" fontId="12" numFmtId="0" xfId="0" applyFont="1"/>
    <xf borderId="0" fillId="0" fontId="21" numFmtId="0" xfId="0" applyFont="1"/>
    <xf borderId="0" fillId="2" fontId="2" numFmtId="0" xfId="0" applyFont="1"/>
    <xf borderId="0" fillId="15" fontId="2" numFmtId="0" xfId="0" applyFill="1" applyFont="1"/>
    <xf borderId="0" fillId="16" fontId="3" numFmtId="0" xfId="0" applyFill="1" applyFont="1"/>
    <xf borderId="1" fillId="17" fontId="2" numFmtId="0" xfId="0" applyBorder="1" applyFill="1" applyFont="1"/>
    <xf borderId="1" fillId="17" fontId="7" numFmtId="0" xfId="0" applyBorder="1" applyFont="1"/>
    <xf borderId="1" fillId="18" fontId="7" numFmtId="0" xfId="0" applyAlignment="1" applyBorder="1" applyFill="1" applyFont="1">
      <alignment horizontal="center"/>
    </xf>
    <xf borderId="1" fillId="0" fontId="22" numFmtId="0" xfId="0" applyAlignment="1" applyBorder="1" applyFont="1">
      <alignment horizontal="center"/>
    </xf>
    <xf borderId="1" fillId="0" fontId="22" numFmtId="3" xfId="0" applyAlignment="1" applyBorder="1" applyFont="1" applyNumberFormat="1">
      <alignment horizontal="center"/>
    </xf>
    <xf borderId="1" fillId="0" fontId="22" numFmtId="3" xfId="0" applyAlignment="1" applyBorder="1" applyFont="1" applyNumberFormat="1">
      <alignment horizontal="center" vertical="bottom"/>
    </xf>
    <xf borderId="1" fillId="10" fontId="23" numFmtId="0" xfId="0" applyBorder="1" applyFont="1"/>
    <xf borderId="1" fillId="10" fontId="23" numFmtId="0" xfId="0" applyAlignment="1" applyBorder="1" applyFont="1">
      <alignment horizontal="center"/>
    </xf>
    <xf borderId="1" fillId="18" fontId="7" numFmtId="0" xfId="0" applyAlignment="1" applyBorder="1" applyFont="1">
      <alignment horizontal="center" readingOrder="0"/>
    </xf>
    <xf borderId="1" fillId="10" fontId="22" numFmtId="0" xfId="0" applyAlignment="1" applyBorder="1" applyFont="1">
      <alignment horizontal="center"/>
    </xf>
    <xf borderId="1" fillId="10" fontId="22" numFmtId="3" xfId="0" applyAlignment="1" applyBorder="1" applyFont="1" applyNumberFormat="1">
      <alignment horizontal="center"/>
    </xf>
    <xf borderId="0" fillId="10" fontId="2" numFmtId="0" xfId="0" applyFont="1"/>
    <xf borderId="0" fillId="2" fontId="12" numFmtId="0" xfId="0" applyAlignment="1" applyFont="1">
      <alignment readingOrder="0"/>
    </xf>
    <xf borderId="1" fillId="4" fontId="9" numFmtId="0" xfId="0" applyAlignment="1" applyBorder="1" applyFont="1">
      <alignment horizontal="center"/>
    </xf>
    <xf borderId="1" fillId="5" fontId="9" numFmtId="0" xfId="0" applyAlignment="1" applyBorder="1" applyFont="1">
      <alignment horizontal="center"/>
    </xf>
    <xf borderId="1" fillId="6" fontId="12" numFmtId="0" xfId="0" applyAlignment="1" applyBorder="1" applyFont="1">
      <alignment horizontal="center"/>
    </xf>
    <xf borderId="1" fillId="7" fontId="9" numFmtId="0" xfId="0" applyAlignment="1" applyBorder="1" applyFont="1">
      <alignment horizontal="center"/>
    </xf>
    <xf borderId="1" fillId="8" fontId="9" numFmtId="0" xfId="0" applyAlignment="1" applyBorder="1" applyFont="1">
      <alignment horizontal="center"/>
    </xf>
    <xf borderId="1" fillId="10" fontId="7" numFmtId="0" xfId="0" applyAlignment="1" applyBorder="1" applyFont="1">
      <alignment horizontal="center" readingOrder="0" vertical="top"/>
    </xf>
    <xf borderId="1" fillId="10" fontId="7" numFmtId="164" xfId="0" applyAlignment="1" applyBorder="1" applyFont="1" applyNumberFormat="1">
      <alignment horizontal="center" vertical="top"/>
    </xf>
    <xf borderId="1" fillId="10" fontId="7" numFmtId="0" xfId="0" applyAlignment="1" applyBorder="1" applyFont="1">
      <alignment horizontal="center" vertical="top"/>
    </xf>
    <xf borderId="1" fillId="0" fontId="24" numFmtId="0" xfId="0" applyAlignment="1" applyBorder="1" applyFont="1">
      <alignment vertical="bottom"/>
    </xf>
    <xf borderId="1" fillId="0" fontId="24" numFmtId="2" xfId="0" applyAlignment="1" applyBorder="1" applyFont="1" applyNumberFormat="1">
      <alignment vertical="bottom"/>
    </xf>
    <xf borderId="1" fillId="0" fontId="24" numFmtId="49" xfId="0" applyAlignment="1" applyBorder="1" applyFont="1" applyNumberFormat="1">
      <alignment vertical="bottom"/>
    </xf>
    <xf borderId="1" fillId="11" fontId="7" numFmtId="0" xfId="0" applyAlignment="1" applyBorder="1" applyFont="1">
      <alignment horizontal="center" readingOrder="0" vertical="top"/>
    </xf>
    <xf borderId="1" fillId="11" fontId="7" numFmtId="164" xfId="0" applyAlignment="1" applyBorder="1" applyFont="1" applyNumberFormat="1">
      <alignment horizontal="center" vertical="top"/>
    </xf>
    <xf borderId="1" fillId="10" fontId="7" numFmtId="0" xfId="0" applyAlignment="1" applyBorder="1" applyFont="1">
      <alignment horizontal="center" readingOrder="0" shrinkToFit="0" vertical="top" wrapText="0"/>
    </xf>
    <xf borderId="1" fillId="11" fontId="7" numFmtId="0" xfId="0" applyAlignment="1" applyBorder="1" applyFont="1">
      <alignment horizontal="center" readingOrder="0" shrinkToFit="0" vertical="top" wrapText="0"/>
    </xf>
    <xf borderId="1" fillId="9" fontId="7" numFmtId="0" xfId="0" applyAlignment="1" applyBorder="1" applyFont="1">
      <alignment horizontal="center" readingOrder="0" vertical="top"/>
    </xf>
    <xf borderId="1" fillId="9" fontId="7" numFmtId="164" xfId="0" applyAlignment="1" applyBorder="1" applyFont="1" applyNumberFormat="1">
      <alignment horizontal="center" vertical="top"/>
    </xf>
    <xf borderId="1" fillId="9" fontId="2" numFmtId="0" xfId="0" applyAlignment="1" applyBorder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3" xfId="0" applyAlignment="1" applyFont="1" applyNumberFormat="1">
      <alignment horizontal="center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6" fontId="12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6" fontId="12" numFmtId="0" xfId="0" applyAlignment="1" applyFont="1">
      <alignment horizontal="center" vertical="bottom"/>
    </xf>
    <xf borderId="0" fillId="6" fontId="2" numFmtId="0" xfId="0" applyAlignment="1" applyFont="1">
      <alignment vertical="bottom"/>
    </xf>
    <xf borderId="1" fillId="19" fontId="2" numFmtId="0" xfId="0" applyAlignment="1" applyBorder="1" applyFill="1" applyFont="1">
      <alignment vertical="bottom"/>
    </xf>
    <xf borderId="1" fillId="20" fontId="3" numFmtId="0" xfId="0" applyAlignment="1" applyBorder="1" applyFill="1" applyFont="1">
      <alignment horizontal="center" vertical="bottom"/>
    </xf>
    <xf borderId="8" fillId="19" fontId="2" numFmtId="0" xfId="0" applyAlignment="1" applyBorder="1" applyFont="1">
      <alignment vertical="bottom"/>
    </xf>
    <xf borderId="1" fillId="20" fontId="3" numFmtId="164" xfId="0" applyAlignment="1" applyBorder="1" applyFont="1" applyNumberFormat="1">
      <alignment horizontal="center" vertical="bottom"/>
    </xf>
    <xf borderId="1" fillId="21" fontId="7" numFmtId="0" xfId="0" applyAlignment="1" applyBorder="1" applyFill="1" applyFont="1">
      <alignment horizontal="center" vertical="bottom"/>
    </xf>
    <xf borderId="24" fillId="10" fontId="26" numFmtId="166" xfId="0" applyAlignment="1" applyBorder="1" applyFont="1" applyNumberFormat="1">
      <alignment horizontal="right" shrinkToFit="0" wrapText="0"/>
    </xf>
    <xf borderId="1" fillId="0" fontId="22" numFmtId="166" xfId="0" applyAlignment="1" applyBorder="1" applyFont="1" applyNumberFormat="1">
      <alignment horizontal="center" vertical="bottom"/>
    </xf>
    <xf borderId="1" fillId="0" fontId="22" numFmtId="0" xfId="0" applyAlignment="1" applyBorder="1" applyFont="1">
      <alignment horizontal="center" vertical="bottom"/>
    </xf>
    <xf borderId="1" fillId="10" fontId="27" numFmtId="0" xfId="0" applyAlignment="1" applyBorder="1" applyFont="1">
      <alignment shrinkToFit="0" vertical="top" wrapText="0"/>
    </xf>
    <xf borderId="25" fillId="11" fontId="26" numFmtId="166" xfId="0" applyAlignment="1" applyBorder="1" applyFont="1" applyNumberFormat="1">
      <alignment horizontal="right" shrinkToFit="0" wrapText="0"/>
    </xf>
    <xf borderId="1" fillId="18" fontId="7" numFmtId="0" xfId="0" applyAlignment="1" applyBorder="1" applyFont="1">
      <alignment horizontal="center" vertical="bottom"/>
    </xf>
    <xf borderId="1" fillId="11" fontId="2" numFmtId="0" xfId="0" applyAlignment="1" applyBorder="1" applyFont="1">
      <alignment vertical="bottom"/>
    </xf>
    <xf borderId="1" fillId="10" fontId="2" numFmtId="0" xfId="0" applyAlignment="1" applyBorder="1" applyFont="1">
      <alignment vertical="bottom"/>
    </xf>
    <xf borderId="1" fillId="10" fontId="2" numFmtId="164" xfId="0" applyAlignment="1" applyBorder="1" applyFont="1" applyNumberFormat="1">
      <alignment vertical="bottom"/>
    </xf>
    <xf borderId="0" fillId="10" fontId="28" numFmtId="0" xfId="0" applyAlignment="1" applyFont="1">
      <alignment readingOrder="0" shrinkToFit="0" vertical="top" wrapText="0"/>
    </xf>
    <xf borderId="0" fillId="10" fontId="29" numFmtId="0" xfId="0" applyAlignment="1" applyFont="1">
      <alignment shrinkToFit="0" wrapText="0"/>
    </xf>
    <xf borderId="1" fillId="10" fontId="22" numFmtId="166" xfId="0" applyAlignment="1" applyBorder="1" applyFont="1" applyNumberFormat="1">
      <alignment horizontal="center" vertical="bottom"/>
    </xf>
    <xf borderId="1" fillId="10" fontId="22" numFmtId="0" xfId="0" applyAlignment="1" applyBorder="1" applyFont="1">
      <alignment horizontal="center" vertical="bottom"/>
    </xf>
    <xf borderId="0" fillId="10" fontId="2" numFmtId="0" xfId="0" applyAlignment="1" applyFont="1">
      <alignment vertical="bottom"/>
    </xf>
    <xf borderId="1" fillId="4" fontId="9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6" fontId="12" numFmtId="0" xfId="0" applyAlignment="1" applyBorder="1" applyFont="1">
      <alignment horizontal="center" vertical="bottom"/>
    </xf>
    <xf borderId="1" fillId="10" fontId="7" numFmtId="167" xfId="0" applyAlignment="1" applyBorder="1" applyFont="1" applyNumberFormat="1">
      <alignment horizontal="center" shrinkToFit="0" vertical="top" wrapText="0"/>
    </xf>
    <xf borderId="1" fillId="10" fontId="2" numFmtId="167" xfId="0" applyAlignment="1" applyBorder="1" applyFont="1" applyNumberFormat="1">
      <alignment vertical="top"/>
    </xf>
    <xf borderId="1" fillId="10" fontId="14" numFmtId="167" xfId="0" applyAlignment="1" applyBorder="1" applyFont="1" applyNumberFormat="1">
      <alignment horizontal="right" vertical="top"/>
    </xf>
    <xf borderId="1" fillId="11" fontId="7" numFmtId="167" xfId="0" applyAlignment="1" applyBorder="1" applyFont="1" applyNumberFormat="1">
      <alignment horizontal="center" shrinkToFit="0" vertical="top" wrapText="0"/>
    </xf>
    <xf borderId="1" fillId="11" fontId="2" numFmtId="167" xfId="0" applyAlignment="1" applyBorder="1" applyFont="1" applyNumberFormat="1">
      <alignment readingOrder="0" vertical="top"/>
    </xf>
    <xf borderId="1" fillId="11" fontId="2" numFmtId="167" xfId="0" applyAlignment="1" applyBorder="1" applyFont="1" applyNumberFormat="1">
      <alignment vertical="top"/>
    </xf>
    <xf borderId="1" fillId="11" fontId="14" numFmtId="167" xfId="0" applyAlignment="1" applyBorder="1" applyFont="1" applyNumberFormat="1">
      <alignment horizontal="right" vertical="top"/>
    </xf>
    <xf borderId="1" fillId="9" fontId="14" numFmtId="167" xfId="0" applyAlignment="1" applyBorder="1" applyFont="1" applyNumberFormat="1">
      <alignment horizontal="right" vertical="top"/>
    </xf>
    <xf borderId="1" fillId="10" fontId="2" numFmtId="167" xfId="0" applyAlignment="1" applyBorder="1" applyFont="1" applyNumberFormat="1">
      <alignment readingOrder="0" vertical="top"/>
    </xf>
    <xf borderId="1" fillId="9" fontId="7" numFmtId="167" xfId="0" applyAlignment="1" applyBorder="1" applyFont="1" applyNumberFormat="1">
      <alignment horizontal="center" shrinkToFit="0" vertical="top" wrapText="0"/>
    </xf>
    <xf borderId="1" fillId="9" fontId="2" numFmtId="167" xfId="0" applyAlignment="1" applyBorder="1" applyFont="1" applyNumberFormat="1">
      <alignment readingOrder="0" vertical="top"/>
    </xf>
    <xf borderId="1" fillId="9" fontId="2" numFmtId="167" xfId="0" applyAlignment="1" applyBorder="1" applyFont="1" applyNumberFormat="1">
      <alignment vertical="top"/>
    </xf>
    <xf borderId="1" fillId="0" fontId="30" numFmtId="0" xfId="0" applyBorder="1" applyFont="1"/>
    <xf borderId="1" fillId="22" fontId="30" numFmtId="0" xfId="0" applyAlignment="1" applyBorder="1" applyFill="1" applyFont="1">
      <alignment horizontal="center" shrinkToFit="0" wrapText="1"/>
    </xf>
    <xf borderId="1" fillId="10" fontId="30" numFmtId="0" xfId="0" applyAlignment="1" applyBorder="1" applyFont="1">
      <alignment horizontal="center" readingOrder="0" shrinkToFit="0" wrapText="1"/>
    </xf>
    <xf borderId="1" fillId="10" fontId="30" numFmtId="0" xfId="0" applyAlignment="1" applyBorder="1" applyFont="1">
      <alignment horizontal="center" shrinkToFit="0" wrapText="1"/>
    </xf>
    <xf borderId="1" fillId="22" fontId="30" numFmtId="0" xfId="0" applyAlignment="1" applyBorder="1" applyFont="1">
      <alignment horizontal="center" shrinkToFit="0" vertical="bottom" wrapText="1"/>
    </xf>
    <xf borderId="1" fillId="0" fontId="30" numFmtId="0" xfId="0" applyAlignment="1" applyBorder="1" applyFont="1">
      <alignment horizontal="center" shrinkToFit="0" vertical="center" wrapText="1"/>
    </xf>
    <xf borderId="1" fillId="0" fontId="31" numFmtId="164" xfId="0" applyAlignment="1" applyBorder="1" applyFont="1" applyNumberForma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vertical="top"/>
    </xf>
    <xf borderId="1" fillId="6" fontId="12" numFmtId="0" xfId="0" applyAlignment="1" applyBorder="1" applyFont="1">
      <alignment horizontal="center" vertical="top"/>
    </xf>
    <xf borderId="1" fillId="7" fontId="9" numFmtId="0" xfId="0" applyAlignment="1" applyBorder="1" applyFont="1">
      <alignment horizontal="center" vertical="top"/>
    </xf>
    <xf borderId="1" fillId="8" fontId="9" numFmtId="0" xfId="0" applyAlignment="1" applyBorder="1" applyFont="1">
      <alignment horizontal="center" vertical="top"/>
    </xf>
    <xf borderId="1" fillId="2" fontId="30" numFmtId="0" xfId="0" applyAlignment="1" applyBorder="1" applyFont="1">
      <alignment vertical="center"/>
    </xf>
    <xf borderId="1" fillId="0" fontId="33" numFmtId="0" xfId="0" applyAlignment="1" applyBorder="1" applyFont="1">
      <alignment readingOrder="0" shrinkToFit="0" vertical="top" wrapText="1"/>
    </xf>
    <xf borderId="1" fillId="0" fontId="33" numFmtId="0" xfId="0" applyAlignment="1" applyBorder="1" applyFont="1">
      <alignment readingOrder="0" vertical="top"/>
    </xf>
    <xf quotePrefix="1" borderId="1" fillId="0" fontId="34" numFmtId="0" xfId="0" applyAlignment="1" applyBorder="1" applyFont="1">
      <alignment horizontal="center" readingOrder="0" vertical="top"/>
    </xf>
    <xf borderId="1" fillId="0" fontId="2" numFmtId="0" xfId="0" applyBorder="1" applyFont="1"/>
    <xf borderId="1" fillId="0" fontId="2" numFmtId="0" xfId="0" applyAlignment="1" applyBorder="1" applyFont="1">
      <alignment vertical="center"/>
    </xf>
    <xf borderId="1" fillId="0" fontId="32" numFmtId="0" xfId="0" applyBorder="1" applyFont="1"/>
    <xf borderId="1" fillId="9" fontId="14" numFmtId="164" xfId="0" applyAlignment="1" applyBorder="1" applyFont="1" applyNumberFormat="1">
      <alignment horizontal="right" vertical="top"/>
    </xf>
    <xf borderId="1" fillId="2" fontId="30" numFmtId="0" xfId="0" applyAlignment="1" applyBorder="1" applyFont="1">
      <alignment shrinkToFit="0" vertical="center" wrapText="1"/>
    </xf>
    <xf borderId="1" fillId="0" fontId="34" numFmtId="0" xfId="0" applyAlignment="1" applyBorder="1" applyFont="1">
      <alignment horizontal="center" readingOrder="0" vertical="top"/>
    </xf>
    <xf borderId="1" fillId="0" fontId="33" numFmtId="0" xfId="0" applyAlignment="1" applyBorder="1" applyFont="1">
      <alignment horizontal="center" readingOrder="0" vertical="top"/>
    </xf>
    <xf borderId="1" fillId="0" fontId="34" numFmtId="0" xfId="0" applyAlignment="1" applyBorder="1" applyFont="1">
      <alignment horizontal="center" shrinkToFit="0" vertical="center" wrapText="1"/>
    </xf>
    <xf borderId="1" fillId="2" fontId="30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1" numFmtId="164" xfId="0" applyAlignment="1" applyBorder="1" applyFont="1" applyNumberFormat="1">
      <alignment horizontal="center" vertical="center"/>
    </xf>
    <xf quotePrefix="1" borderId="1" fillId="0" fontId="33" numFmtId="0" xfId="0" applyAlignment="1" applyBorder="1" applyFont="1">
      <alignment horizontal="center" readingOrder="0" vertical="top"/>
    </xf>
    <xf borderId="1" fillId="0" fontId="35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center"/>
    </xf>
    <xf borderId="1" fillId="9" fontId="14" numFmtId="164" xfId="0" applyAlignment="1" applyBorder="1" applyFont="1" applyNumberFormat="1">
      <alignment horizontal="right" vertical="top"/>
    </xf>
    <xf borderId="1" fillId="2" fontId="30" numFmtId="0" xfId="0" applyBorder="1" applyFont="1"/>
    <xf borderId="1" fillId="0" fontId="31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vertical="top"/>
    </xf>
    <xf borderId="1" fillId="9" fontId="2" numFmtId="0" xfId="0" applyAlignment="1" applyBorder="1" applyFont="1">
      <alignment vertical="top"/>
    </xf>
    <xf borderId="1" fillId="9" fontId="2" numFmtId="0" xfId="0" applyAlignment="1" applyBorder="1" applyFont="1">
      <alignment vertical="top"/>
    </xf>
    <xf borderId="1" fillId="0" fontId="30" numFmtId="2" xfId="0" applyAlignment="1" applyBorder="1" applyFont="1" applyNumberForma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0" fontId="31" numFmtId="0" xfId="0" applyBorder="1" applyFont="1"/>
    <xf borderId="1" fillId="0" fontId="2" numFmtId="1" xfId="0" applyAlignment="1" applyBorder="1" applyFont="1" applyNumberFormat="1">
      <alignment horizontal="center" readingOrder="0" vertical="center"/>
    </xf>
    <xf borderId="1" fillId="0" fontId="30" numFmtId="1" xfId="0" applyAlignment="1" applyBorder="1" applyFont="1" applyNumberFormat="1">
      <alignment horizontal="center" vertical="center"/>
    </xf>
    <xf borderId="1" fillId="0" fontId="36" numFmtId="1" xfId="0" applyBorder="1" applyFont="1" applyNumberFormat="1"/>
    <xf borderId="1" fillId="10" fontId="7" numFmtId="0" xfId="0" applyAlignment="1" applyBorder="1" applyFont="1">
      <alignment horizontal="center" shrinkToFit="0" vertical="top" wrapText="0"/>
    </xf>
    <xf borderId="1" fillId="9" fontId="7" numFmtId="0" xfId="0" applyAlignment="1" applyBorder="1" applyFont="1">
      <alignment horizontal="right" vertical="top"/>
    </xf>
    <xf borderId="1" fillId="11" fontId="7" numFmtId="0" xfId="0" applyAlignment="1" applyBorder="1" applyFont="1">
      <alignment horizontal="center" shrinkToFit="0" vertical="top" wrapText="0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" fillId="9" fontId="7" numFmtId="0" xfId="0" applyAlignment="1" applyBorder="1" applyFont="1">
      <alignment horizontal="right" readingOrder="0" vertical="top"/>
    </xf>
    <xf borderId="1" fillId="9" fontId="7" numFmtId="0" xfId="0" applyAlignment="1" applyBorder="1" applyFont="1">
      <alignment horizontal="right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2">
    <tableStyle count="2" pivot="0" name="Daftar Peserta-style">
      <tableStyleElement dxfId="1" type="firstRowStripe"/>
      <tableStyleElement dxfId="2" type="secondRowStripe"/>
    </tableStyle>
    <tableStyle count="2" pivot="0" name="Daftar Peserta-style 2">
      <tableStyleElement dxfId="2" type="firstRowStripe"/>
      <tableStyleElement dxfId="1" type="secondRowStripe"/>
    </tableStyle>
    <tableStyle count="2" pivot="0" name="MPI_1-style">
      <tableStyleElement dxfId="2" type="firstRowStripe"/>
      <tableStyleElement dxfId="3" type="secondRowStripe"/>
    </tableStyle>
    <tableStyle count="2" pivot="0" name="MPI_1-style 2">
      <tableStyleElement dxfId="2" type="firstRowStripe"/>
      <tableStyleElement dxfId="3" type="secondRowStripe"/>
    </tableStyle>
    <tableStyle count="2" pivot="0" name="MPI_1-style 3">
      <tableStyleElement dxfId="2" type="firstRowStripe"/>
      <tableStyleElement dxfId="3" type="secondRowStripe"/>
    </tableStyle>
    <tableStyle count="2" pivot="0" name="MPI_1-style 4">
      <tableStyleElement dxfId="1" type="firstRowStripe"/>
      <tableStyleElement dxfId="2" type="secondRowStripe"/>
    </tableStyle>
    <tableStyle count="2" pivot="0" name="MPI_1-style 5">
      <tableStyleElement dxfId="1" type="firstRowStripe"/>
      <tableStyleElement dxfId="2" type="secondRowStripe"/>
    </tableStyle>
    <tableStyle count="2" pivot="0" name="MPI_1-style 6">
      <tableStyleElement dxfId="3" type="firstRowStripe"/>
      <tableStyleElement dxfId="2" type="secondRowStripe"/>
    </tableStyle>
    <tableStyle count="2" pivot="0" name="MPI_1-style 7">
      <tableStyleElement dxfId="2" type="firstRowStripe"/>
      <tableStyleElement dxfId="1" type="secondRowStripe"/>
    </tableStyle>
    <tableStyle count="2" pivot="0" name="MPI_2-style">
      <tableStyleElement dxfId="2" type="firstRowStripe"/>
      <tableStyleElement dxfId="3" type="secondRowStripe"/>
    </tableStyle>
    <tableStyle count="2" pivot="0" name="MPI_2-style 2">
      <tableStyleElement dxfId="2" type="firstRowStripe"/>
      <tableStyleElement dxfId="3" type="secondRowStripe"/>
    </tableStyle>
    <tableStyle count="2" pivot="0" name="MPI_2-style 3">
      <tableStyleElement dxfId="2" type="firstRowStripe"/>
      <tableStyleElement dxfId="3" type="secondRowStripe"/>
    </tableStyle>
    <tableStyle count="2" pivot="0" name="MPI_2-style 4">
      <tableStyleElement dxfId="2" type="firstRowStripe"/>
      <tableStyleElement dxfId="3" type="secondRowStripe"/>
    </tableStyle>
    <tableStyle count="2" pivot="0" name="MPI_2-style 5">
      <tableStyleElement dxfId="2" type="firstRowStripe"/>
      <tableStyleElement dxfId="3" type="secondRowStripe"/>
    </tableStyle>
    <tableStyle count="2" pivot="0" name="MPI_2-style 6">
      <tableStyleElement dxfId="2" type="firstRowStripe"/>
      <tableStyleElement dxfId="3" type="secondRowStripe"/>
    </tableStyle>
    <tableStyle count="2" pivot="0" name="MPI_2-style 7">
      <tableStyleElement dxfId="3" type="firstRowStripe"/>
      <tableStyleElement dxfId="2" type="secondRowStripe"/>
    </tableStyle>
    <tableStyle count="2" pivot="0" name="MPI_2-style 8">
      <tableStyleElement dxfId="3" type="firstRowStripe"/>
      <tableStyleElement dxfId="2" type="secondRowStripe"/>
    </tableStyle>
    <tableStyle count="2" pivot="0" name="MPI_2-style 9">
      <tableStyleElement dxfId="2" type="firstRowStripe"/>
      <tableStyleElement dxfId="3" type="secondRowStripe"/>
    </tableStyle>
    <tableStyle count="2" pivot="0" name="MPI_2-style 10">
      <tableStyleElement dxfId="3" type="firstRowStripe"/>
      <tableStyleElement dxfId="2" type="secondRowStripe"/>
    </tableStyle>
    <tableStyle count="2" pivot="0" name="MPI_3-style">
      <tableStyleElement dxfId="2" type="firstRowStripe"/>
      <tableStyleElement dxfId="3" type="secondRowStripe"/>
    </tableStyle>
    <tableStyle count="2" pivot="0" name="MPI_3-style 2">
      <tableStyleElement dxfId="2" type="firstRowStripe"/>
      <tableStyleElement dxfId="3" type="secondRowStripe"/>
    </tableStyle>
    <tableStyle count="2" pivot="0" name="MPI_3-style 3">
      <tableStyleElement dxfId="2" type="firstRowStripe"/>
      <tableStyleElement dxfId="3" type="secondRowStripe"/>
    </tableStyle>
    <tableStyle count="2" pivot="0" name="MPI_3-style 4">
      <tableStyleElement dxfId="2" type="firstRowStripe"/>
      <tableStyleElement dxfId="3" type="secondRowStripe"/>
    </tableStyle>
    <tableStyle count="2" pivot="0" name="MPI_3-style 5">
      <tableStyleElement dxfId="2" type="firstRowStripe"/>
      <tableStyleElement dxfId="3" type="secondRowStripe"/>
    </tableStyle>
    <tableStyle count="2" pivot="0" name="MPI_3-style 6">
      <tableStyleElement dxfId="2" type="firstRowStripe"/>
      <tableStyleElement dxfId="3" type="secondRowStripe"/>
    </tableStyle>
    <tableStyle count="2" pivot="0" name="MPI_3-style 7">
      <tableStyleElement dxfId="3" type="firstRowStripe"/>
      <tableStyleElement dxfId="2" type="secondRowStripe"/>
    </tableStyle>
    <tableStyle count="2" pivot="0" name="MPI_3-style 8">
      <tableStyleElement dxfId="3" type="firstRowStripe"/>
      <tableStyleElement dxfId="2" type="secondRowStripe"/>
    </tableStyle>
    <tableStyle count="2" pivot="0" name="MPI_4-style">
      <tableStyleElement dxfId="2" type="firstRowStripe"/>
      <tableStyleElement dxfId="3" type="secondRowStripe"/>
    </tableStyle>
    <tableStyle count="2" pivot="0" name="MPI_4-style 2">
      <tableStyleElement dxfId="2" type="firstRowStripe"/>
      <tableStyleElement dxfId="3" type="secondRowStripe"/>
    </tableStyle>
    <tableStyle count="2" pivot="0" name="MPI_4-style 3">
      <tableStyleElement dxfId="2" type="firstRowStripe"/>
      <tableStyleElement dxfId="3" type="secondRowStripe"/>
    </tableStyle>
    <tableStyle count="2" pivot="0" name="MPI_4-style 4">
      <tableStyleElement dxfId="2" type="firstRowStripe"/>
      <tableStyleElement dxfId="3" type="secondRowStripe"/>
    </tableStyle>
    <tableStyle count="2" pivot="0" name="MPI_4-style 5">
      <tableStyleElement dxfId="2" type="firstRowStripe"/>
      <tableStyleElement dxfId="3" type="secondRowStripe"/>
    </tableStyle>
    <tableStyle count="2" pivot="0" name="MPI_4-style 6">
      <tableStyleElement dxfId="3" type="firstRowStripe"/>
      <tableStyleElement dxfId="2" type="secondRowStripe"/>
    </tableStyle>
    <tableStyle count="2" pivot="0" name="MPI_4-style 7">
      <tableStyleElement dxfId="3" type="firstRowStripe"/>
      <tableStyleElement dxfId="2" type="secondRowStripe"/>
    </tableStyle>
    <tableStyle count="2" pivot="0" name="MPI_5-style">
      <tableStyleElement dxfId="2" type="firstRowStripe"/>
      <tableStyleElement dxfId="3" type="secondRowStripe"/>
    </tableStyle>
    <tableStyle count="2" pivot="0" name="MPI_5-style 2">
      <tableStyleElement dxfId="2" type="firstRowStripe"/>
      <tableStyleElement dxfId="3" type="secondRowStripe"/>
    </tableStyle>
    <tableStyle count="2" pivot="0" name="MPI_5-style 3">
      <tableStyleElement dxfId="2" type="firstRowStripe"/>
      <tableStyleElement dxfId="3" type="secondRowStripe"/>
    </tableStyle>
    <tableStyle count="2" pivot="0" name="MPI_5-style 4">
      <tableStyleElement dxfId="2" type="firstRowStripe"/>
      <tableStyleElement dxfId="3" type="secondRowStripe"/>
    </tableStyle>
    <tableStyle count="2" pivot="0" name="MPI_5-style 5">
      <tableStyleElement dxfId="2" type="firstRowStripe"/>
      <tableStyleElement dxfId="3" type="secondRowStripe"/>
    </tableStyle>
    <tableStyle count="2" pivot="0" name="MPI_5-style 6">
      <tableStyleElement dxfId="3" type="firstRowStripe"/>
      <tableStyleElement dxfId="2" type="secondRowStripe"/>
    </tableStyle>
    <tableStyle count="2" pivot="0" name="MPI_5-style 7">
      <tableStyleElement dxfId="3" type="firstRowStripe"/>
      <tableStyleElement dxfId="2" type="secondRowStripe"/>
    </tableStyle>
    <tableStyle count="2" pivot="0" name="MPI_5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8:E35" displayName="Table_1" name="Table_1" id="1">
  <tableColumns count="3">
    <tableColumn name="Column1" id="1"/>
    <tableColumn name="Column2" id="2"/>
    <tableColumn name="Column3" id="3"/>
  </tableColumns>
  <tableStyleInfo name="Daftar Peserta-style" showColumnStripes="0" showFirstColumn="1" showLastColumn="1" showRowStripes="1"/>
</table>
</file>

<file path=xl/tables/table2.xml><?xml version="1.0" encoding="utf-8"?>
<table xmlns="http://schemas.openxmlformats.org/spreadsheetml/2006/main" headerRowCount="0" ref="C41:E41" displayName="Table_2" name="Table_2" id="2">
  <tableColumns count="3">
    <tableColumn name="Column1" id="1"/>
    <tableColumn name="Column2" id="2"/>
    <tableColumn name="Column3" id="3"/>
  </tableColumns>
  <tableStyleInfo name="Daftar Peser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V2:X3" displayName="Table_3" name="Table_3" id="3">
  <tableColumns count="3">
    <tableColumn name="Column1" id="1"/>
    <tableColumn name="Column2" id="2"/>
    <tableColumn name="Column3" id="3"/>
  </tableColumns>
  <tableStyleInfo name="MPI_1-style" showColumnStripes="0" showFirstColumn="1" showLastColumn="1" showRowStripes="1"/>
</table>
</file>

<file path=xl/tables/table4.xml><?xml version="1.0" encoding="utf-8"?>
<table xmlns="http://schemas.openxmlformats.org/spreadsheetml/2006/main" headerRowCount="0" ref="Y2:AB3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MPI_1-style 2" showColumnStripes="0" showFirstColumn="1" showLastColumn="1" showRowStripes="1"/>
</table>
</file>

<file path=xl/tables/table5.xml><?xml version="1.0" encoding="utf-8"?>
<table xmlns="http://schemas.openxmlformats.org/spreadsheetml/2006/main" headerRowCount="0" ref="V4:AB17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PI_1-style 3" showColumnStripes="0" showFirstColumn="1" showLastColumn="1" showRowStripes="1"/>
</table>
</file>

<file path=xl/tables/table6.xml><?xml version="1.0" encoding="utf-8"?>
<table xmlns="http://schemas.openxmlformats.org/spreadsheetml/2006/main" headerRowCount="0" ref="V18:V25" displayName="Table_6" name="Table_6" id="6">
  <tableColumns count="1">
    <tableColumn name="Column1" id="1"/>
  </tableColumns>
  <tableStyleInfo name="MPI_1-style 4" showColumnStripes="0" showFirstColumn="1" showLastColumn="1" showRowStripes="1"/>
</table>
</file>

<file path=xl/tables/table7.xml><?xml version="1.0" encoding="utf-8"?>
<table xmlns="http://schemas.openxmlformats.org/spreadsheetml/2006/main" headerRowCount="0" ref="AB18:AE2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MPI_1-style 5" showColumnStripes="0" showFirstColumn="1" showLastColumn="1" showRowStripes="1"/>
</table>
</file>

<file path=xl/tables/table8.xml><?xml version="1.0" encoding="utf-8"?>
<table xmlns="http://schemas.openxmlformats.org/spreadsheetml/2006/main" headerRowCount="0" ref="V26:Z31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MPI_1-style 6" showColumnStripes="0" showFirstColumn="1" showLastColumn="1" showRowStripes="1"/>
</table>
</file>

<file path=xl/tables/table9.xml><?xml version="1.0" encoding="utf-8"?>
<table xmlns="http://schemas.openxmlformats.org/spreadsheetml/2006/main" headerRowCount="0" ref="AB31:AE3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MPI_1-style 7" showColumnStripes="0" showFirstColumn="1" showLastColumn="1" showRowStripes="1"/>
</table>
</file>

<file path=xl/tables/table10.xml><?xml version="1.0" encoding="utf-8"?>
<table xmlns="http://schemas.openxmlformats.org/spreadsheetml/2006/main" headerRowCount="0" ref="A11:E11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MPI_2-style" showColumnStripes="0" showFirstColumn="1" showLastColumn="1" showRowStripes="1"/>
</table>
</file>

<file path=xl/tables/table11.xml><?xml version="1.0" encoding="utf-8"?>
<table xmlns="http://schemas.openxmlformats.org/spreadsheetml/2006/main" headerRowCount="0" ref="B16:F17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MPI_2-style 2" showColumnStripes="0" showFirstColumn="1" showLastColumn="1" showRowStripes="1"/>
</table>
</file>

<file path=xl/tables/table12.xml><?xml version="1.0" encoding="utf-8"?>
<table xmlns="http://schemas.openxmlformats.org/spreadsheetml/2006/main" headerRowCount="0" ref="J16:J17" displayName="Table_12" name="Table_12" id="12">
  <tableColumns count="1">
    <tableColumn name="Column1" id="1"/>
  </tableColumns>
  <tableStyleInfo name="MPI_2-style 3" showColumnStripes="0" showFirstColumn="1" showLastColumn="1" showRowStripes="1"/>
</table>
</file>

<file path=xl/tables/table13.xml><?xml version="1.0" encoding="utf-8"?>
<table xmlns="http://schemas.openxmlformats.org/spreadsheetml/2006/main" headerRowCount="0" ref="B18:D31" displayName="Table_13" name="Table_13" id="13">
  <tableColumns count="3">
    <tableColumn name="Column1" id="1"/>
    <tableColumn name="Column2" id="2"/>
    <tableColumn name="Column3" id="3"/>
  </tableColumns>
  <tableStyleInfo name="MPI_2-style 4" showColumnStripes="0" showFirstColumn="1" showLastColumn="1" showRowStripes="1"/>
</table>
</file>

<file path=xl/tables/table14.xml><?xml version="1.0" encoding="utf-8"?>
<table xmlns="http://schemas.openxmlformats.org/spreadsheetml/2006/main" headerRowCount="0" ref="E18:F31" displayName="Table_14" name="Table_14" id="14">
  <tableColumns count="2">
    <tableColumn name="Column1" id="1"/>
    <tableColumn name="Column2" id="2"/>
  </tableColumns>
  <tableStyleInfo name="MPI_2-style 5" showColumnStripes="0" showFirstColumn="1" showLastColumn="1" showRowStripes="1"/>
</table>
</file>

<file path=xl/tables/table15.xml><?xml version="1.0" encoding="utf-8"?>
<table xmlns="http://schemas.openxmlformats.org/spreadsheetml/2006/main" headerRowCount="0" ref="G18:J31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MPI_2-style 6" showColumnStripes="0" showFirstColumn="1" showLastColumn="1" showRowStripes="1"/>
</table>
</file>

<file path=xl/tables/table16.xml><?xml version="1.0" encoding="utf-8"?>
<table xmlns="http://schemas.openxmlformats.org/spreadsheetml/2006/main" headerRowCount="0" ref="B40:B45" displayName="Table_16" name="Table_16" id="16">
  <tableColumns count="1">
    <tableColumn name="Column1" id="1"/>
  </tableColumns>
  <tableStyleInfo name="MPI_2-style 7" showColumnStripes="0" showFirstColumn="1" showLastColumn="1" showRowStripes="1"/>
</table>
</file>

<file path=xl/tables/table17.xml><?xml version="1.0" encoding="utf-8"?>
<table xmlns="http://schemas.openxmlformats.org/spreadsheetml/2006/main" headerRowCount="0" ref="G40:J45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MPI_2-style 8" showColumnStripes="0" showFirstColumn="1" showLastColumn="1" showRowStripes="1"/>
</table>
</file>

<file path=xl/tables/table18.xml><?xml version="1.0" encoding="utf-8"?>
<table xmlns="http://schemas.openxmlformats.org/spreadsheetml/2006/main" headerRowCount="0" ref="H49:H62" displayName="Table_18" name="Table_18" id="18">
  <tableColumns count="1">
    <tableColumn name="Column1" id="1"/>
  </tableColumns>
  <tableStyleInfo name="MPI_2-style 9" showColumnStripes="0" showFirstColumn="1" showLastColumn="1" showRowStripes="1"/>
</table>
</file>

<file path=xl/tables/table19.xml><?xml version="1.0" encoding="utf-8"?>
<table xmlns="http://schemas.openxmlformats.org/spreadsheetml/2006/main" headerRowCount="0" ref="H71:H76" displayName="Table_19" name="Table_19" id="19">
  <tableColumns count="1">
    <tableColumn name="Column1" id="1"/>
  </tableColumns>
  <tableStyleInfo name="MPI_2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H5:Q5" displayName="Table_20" name="Table_20" id="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PI_3-style" showColumnStripes="0" showFirstColumn="1" showLastColumn="1" showRowStripes="1"/>
</table>
</file>

<file path=xl/tables/table21.xml><?xml version="1.0" encoding="utf-8"?>
<table xmlns="http://schemas.openxmlformats.org/spreadsheetml/2006/main" headerRowCount="0" ref="A10:E10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MPI_3-style 2" showColumnStripes="0" showFirstColumn="1" showLastColumn="1" showRowStripes="1"/>
</table>
</file>

<file path=xl/tables/table22.xml><?xml version="1.0" encoding="utf-8"?>
<table xmlns="http://schemas.openxmlformats.org/spreadsheetml/2006/main" headerRowCount="0" ref="B14:F15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MPI_3-style 3" showColumnStripes="0" showFirstColumn="1" showLastColumn="1" showRowStripes="1"/>
</table>
</file>

<file path=xl/tables/table23.xml><?xml version="1.0" encoding="utf-8"?>
<table xmlns="http://schemas.openxmlformats.org/spreadsheetml/2006/main" headerRowCount="0" ref="J14:J15" displayName="Table_23" name="Table_23" id="23">
  <tableColumns count="1">
    <tableColumn name="Column1" id="1"/>
  </tableColumns>
  <tableStyleInfo name="MPI_3-style 4" showColumnStripes="0" showFirstColumn="1" showLastColumn="1" showRowStripes="1"/>
</table>
</file>

<file path=xl/tables/table24.xml><?xml version="1.0" encoding="utf-8"?>
<table xmlns="http://schemas.openxmlformats.org/spreadsheetml/2006/main" headerRowCount="0" ref="B16:E29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MPI_3-style 5" showColumnStripes="0" showFirstColumn="1" showLastColumn="1" showRowStripes="1"/>
</table>
</file>

<file path=xl/tables/table25.xml><?xml version="1.0" encoding="utf-8"?>
<table xmlns="http://schemas.openxmlformats.org/spreadsheetml/2006/main" headerRowCount="0" ref="G16:J29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MPI_3-style 6" showColumnStripes="0" showFirstColumn="1" showLastColumn="1" showRowStripes="1"/>
</table>
</file>

<file path=xl/tables/table26.xml><?xml version="1.0" encoding="utf-8"?>
<table xmlns="http://schemas.openxmlformats.org/spreadsheetml/2006/main" headerRowCount="0" ref="B38:B43" displayName="Table_26" name="Table_26" id="26">
  <tableColumns count="1">
    <tableColumn name="Column1" id="1"/>
  </tableColumns>
  <tableStyleInfo name="MPI_3-style 7" showColumnStripes="0" showFirstColumn="1" showLastColumn="1" showRowStripes="1"/>
</table>
</file>

<file path=xl/tables/table27.xml><?xml version="1.0" encoding="utf-8"?>
<table xmlns="http://schemas.openxmlformats.org/spreadsheetml/2006/main" headerRowCount="0" ref="G38:J43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MPI_3-style 8" showColumnStripes="0" showFirstColumn="1" showLastColumn="1" showRowStripes="1"/>
</table>
</file>

<file path=xl/tables/table28.xml><?xml version="1.0" encoding="utf-8"?>
<table xmlns="http://schemas.openxmlformats.org/spreadsheetml/2006/main" headerRowCount="0" ref="O2:Q3" displayName="Table_28" name="Table_28" id="28">
  <tableColumns count="3">
    <tableColumn name="Column1" id="1"/>
    <tableColumn name="Column2" id="2"/>
    <tableColumn name="Column3" id="3"/>
  </tableColumns>
  <tableStyleInfo name="MPI_4-style" showColumnStripes="0" showFirstColumn="1" showLastColumn="1" showRowStripes="1"/>
</table>
</file>

<file path=xl/tables/table29.xml><?xml version="1.0" encoding="utf-8"?>
<table xmlns="http://schemas.openxmlformats.org/spreadsheetml/2006/main" headerRowCount="0" ref="R2:U3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MPI_4-style 2" showColumnStripes="0" showFirstColumn="1" showLastColumn="1" showRowStripes="1"/>
</table>
</file>

<file path=xl/tables/table30.xml><?xml version="1.0" encoding="utf-8"?>
<table xmlns="http://schemas.openxmlformats.org/spreadsheetml/2006/main" headerRowCount="0" ref="W2:W3" displayName="Table_30" name="Table_30" id="30">
  <tableColumns count="1">
    <tableColumn name="Column1" id="1"/>
  </tableColumns>
  <tableStyleInfo name="MPI_4-style 3" showColumnStripes="0" showFirstColumn="1" showLastColumn="1" showRowStripes="1"/>
</table>
</file>

<file path=xl/tables/table31.xml><?xml version="1.0" encoding="utf-8"?>
<table xmlns="http://schemas.openxmlformats.org/spreadsheetml/2006/main" headerRowCount="0" ref="O4:U17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PI_4-style 4" showColumnStripes="0" showFirstColumn="1" showLastColumn="1" showRowStripes="1"/>
</table>
</file>

<file path=xl/tables/table32.xml><?xml version="1.0" encoding="utf-8"?>
<table xmlns="http://schemas.openxmlformats.org/spreadsheetml/2006/main" headerRowCount="0" ref="W17" displayName="Table_32" name="Table_32" id="32">
  <tableColumns count="1">
    <tableColumn name="Column1" id="1"/>
  </tableColumns>
  <tableStyleInfo name="MPI_4-style 5" showColumnStripes="0" showFirstColumn="1" showLastColumn="1" showRowStripes="1"/>
</table>
</file>

<file path=xl/tables/table33.xml><?xml version="1.0" encoding="utf-8"?>
<table xmlns="http://schemas.openxmlformats.org/spreadsheetml/2006/main" headerRowCount="0" ref="O26:S31" displayName="Table_33" name="Table_33" id="33">
  <tableColumns count="5">
    <tableColumn name="Column1" id="1"/>
    <tableColumn name="Column2" id="2"/>
    <tableColumn name="Column3" id="3"/>
    <tableColumn name="Column4" id="4"/>
    <tableColumn name="Column5" id="5"/>
  </tableColumns>
  <tableStyleInfo name="MPI_4-style 6" showColumnStripes="0" showFirstColumn="1" showLastColumn="1" showRowStripes="1"/>
</table>
</file>

<file path=xl/tables/table34.xml><?xml version="1.0" encoding="utf-8"?>
<table xmlns="http://schemas.openxmlformats.org/spreadsheetml/2006/main" headerRowCount="0" ref="T26:W31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MPI_4-style 7" showColumnStripes="0" showFirstColumn="1" showLastColumn="1" showRowStripes="1"/>
</table>
</file>

<file path=xl/tables/table35.xml><?xml version="1.0" encoding="utf-8"?>
<table xmlns="http://schemas.openxmlformats.org/spreadsheetml/2006/main" headerRowCount="0" ref="O2:R3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MPI_5-style" showColumnStripes="0" showFirstColumn="1" showLastColumn="1" showRowStripes="1"/>
</table>
</file>

<file path=xl/tables/table36.xml><?xml version="1.0" encoding="utf-8"?>
<table xmlns="http://schemas.openxmlformats.org/spreadsheetml/2006/main" headerRowCount="0" ref="W2:W3" displayName="Table_36" name="Table_36" id="36">
  <tableColumns count="1">
    <tableColumn name="Column1" id="1"/>
  </tableColumns>
  <tableStyleInfo name="MPI_5-style 2" showColumnStripes="0" showFirstColumn="1" showLastColumn="1" showRowStripes="1"/>
</table>
</file>

<file path=xl/tables/table37.xml><?xml version="1.0" encoding="utf-8"?>
<table xmlns="http://schemas.openxmlformats.org/spreadsheetml/2006/main" headerRowCount="0" ref="O4:Q17" displayName="Table_37" name="Table_37" id="37">
  <tableColumns count="3">
    <tableColumn name="Column1" id="1"/>
    <tableColumn name="Column2" id="2"/>
    <tableColumn name="Column3" id="3"/>
  </tableColumns>
  <tableStyleInfo name="MPI_5-style 3" showColumnStripes="0" showFirstColumn="1" showLastColumn="1" showRowStripes="1"/>
</table>
</file>

<file path=xl/tables/table38.xml><?xml version="1.0" encoding="utf-8"?>
<table xmlns="http://schemas.openxmlformats.org/spreadsheetml/2006/main" headerRowCount="0" ref="R4:S17" displayName="Table_38" name="Table_38" id="38">
  <tableColumns count="2">
    <tableColumn name="Column1" id="1"/>
    <tableColumn name="Column2" id="2"/>
  </tableColumns>
  <tableStyleInfo name="MPI_5-style 4" showColumnStripes="0" showFirstColumn="1" showLastColumn="1" showRowStripes="1"/>
</table>
</file>

<file path=xl/tables/table39.xml><?xml version="1.0" encoding="utf-8"?>
<table xmlns="http://schemas.openxmlformats.org/spreadsheetml/2006/main" headerRowCount="0" ref="T4:W17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MPI_5-style 5" showColumnStripes="0" showFirstColumn="1" showLastColumn="1" showRowStripes="1"/>
</table>
</file>

<file path=xl/tables/table40.xml><?xml version="1.0" encoding="utf-8"?>
<table xmlns="http://schemas.openxmlformats.org/spreadsheetml/2006/main" headerRowCount="0" ref="O26:O31" displayName="Table_40" name="Table_40" id="40">
  <tableColumns count="1">
    <tableColumn name="Column1" id="1"/>
  </tableColumns>
  <tableStyleInfo name="MPI_5-style 6" showColumnStripes="0" showFirstColumn="1" showLastColumn="1" showRowStripes="1"/>
</table>
</file>

<file path=xl/tables/table41.xml><?xml version="1.0" encoding="utf-8"?>
<table xmlns="http://schemas.openxmlformats.org/spreadsheetml/2006/main" headerRowCount="0" ref="P26:S31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MPI_5-style 7" showColumnStripes="0" showFirstColumn="1" showLastColumn="1" showRowStripes="1"/>
</table>
</file>

<file path=xl/tables/table42.xml><?xml version="1.0" encoding="utf-8"?>
<table xmlns="http://schemas.openxmlformats.org/spreadsheetml/2006/main" headerRowCount="0" ref="T26:W31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MPI_5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oJPr4VzSwNU02fwkNVdEBVT4Tlw9m5VX4GQT2cAjjY/edit?resourcekey=&amp;gid=1678037206" TargetMode="External"/><Relationship Id="rId2" Type="http://schemas.openxmlformats.org/officeDocument/2006/relationships/drawing" Target="../drawings/drawing3.xml"/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13" Type="http://schemas.openxmlformats.org/officeDocument/2006/relationships/table" Target="../tables/table10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2ZJIlRL4CBH9cH2ptk8NJ7p36ujSZKQGT7C2kgI9UA/edit?gid=1915139668" TargetMode="External"/><Relationship Id="rId2" Type="http://schemas.openxmlformats.org/officeDocument/2006/relationships/drawing" Target="../drawings/drawing4.xml"/><Relationship Id="rId11" Type="http://schemas.openxmlformats.org/officeDocument/2006/relationships/table" Target="../tables/table2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8" Type="http://schemas.openxmlformats.org/officeDocument/2006/relationships/table" Target="../tables/table2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9" Type="http://schemas.openxmlformats.org/officeDocument/2006/relationships/table" Target="../tables/table28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36.xml"/><Relationship Id="rId10" Type="http://schemas.openxmlformats.org/officeDocument/2006/relationships/table" Target="../tables/table35.xml"/><Relationship Id="rId13" Type="http://schemas.openxmlformats.org/officeDocument/2006/relationships/table" Target="../tables/table38.xml"/><Relationship Id="rId12" Type="http://schemas.openxmlformats.org/officeDocument/2006/relationships/table" Target="../tables/table37.xml"/><Relationship Id="rId15" Type="http://schemas.openxmlformats.org/officeDocument/2006/relationships/table" Target="../tables/table40.xml"/><Relationship Id="rId14" Type="http://schemas.openxmlformats.org/officeDocument/2006/relationships/table" Target="../tables/table39.xml"/><Relationship Id="rId17" Type="http://schemas.openxmlformats.org/officeDocument/2006/relationships/table" Target="../tables/table42.xml"/><Relationship Id="rId16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8.14"/>
    <col customWidth="1" min="3" max="3" width="44.57"/>
    <col customWidth="1" min="4" max="4" width="26.0"/>
    <col customWidth="1" min="5" max="5" width="18.43"/>
    <col customWidth="1" min="6" max="10" width="7.29"/>
  </cols>
  <sheetData>
    <row r="1">
      <c r="A1" s="1" t="s">
        <v>0</v>
      </c>
      <c r="B1" s="2"/>
      <c r="C1" s="3"/>
      <c r="D1" s="3"/>
      <c r="E1" s="3"/>
      <c r="F1" s="4"/>
      <c r="G1" s="4"/>
      <c r="H1" s="4"/>
      <c r="I1" s="4"/>
      <c r="J1" s="4"/>
    </row>
    <row r="2">
      <c r="A2" s="5"/>
      <c r="B2" s="5"/>
      <c r="C2" s="3"/>
      <c r="D2" s="3"/>
      <c r="E2" s="3"/>
      <c r="F2" s="4"/>
      <c r="G2" s="4"/>
      <c r="H2" s="4"/>
      <c r="I2" s="4"/>
      <c r="J2" s="4"/>
    </row>
    <row r="3">
      <c r="A3" s="6">
        <f>sum(A4:A8)</f>
        <v>30</v>
      </c>
      <c r="B3" s="6" t="s">
        <v>1</v>
      </c>
      <c r="C3" s="3"/>
      <c r="D3" s="3"/>
      <c r="E3" s="3"/>
      <c r="F3" s="4"/>
      <c r="G3" s="4"/>
      <c r="H3" s="4"/>
      <c r="I3" s="4"/>
      <c r="J3" s="4"/>
    </row>
    <row r="4">
      <c r="A4" s="7">
        <f t="shared" ref="A4:A8" si="1">COUNTIF($D$12:$D$41,B4)</f>
        <v>3</v>
      </c>
      <c r="B4" s="8" t="s">
        <v>2</v>
      </c>
      <c r="C4" s="3"/>
      <c r="D4" s="3"/>
      <c r="E4" s="3"/>
      <c r="F4" s="4"/>
      <c r="G4" s="4"/>
      <c r="H4" s="4"/>
      <c r="I4" s="4"/>
      <c r="J4" s="4"/>
    </row>
    <row r="5">
      <c r="A5" s="7">
        <f t="shared" si="1"/>
        <v>5</v>
      </c>
      <c r="B5" s="8" t="s">
        <v>3</v>
      </c>
      <c r="C5" s="3"/>
      <c r="D5" s="3"/>
      <c r="E5" s="3"/>
      <c r="F5" s="4"/>
      <c r="G5" s="4"/>
      <c r="H5" s="4"/>
      <c r="I5" s="4"/>
      <c r="J5" s="4"/>
    </row>
    <row r="6">
      <c r="A6" s="7">
        <f t="shared" si="1"/>
        <v>1</v>
      </c>
      <c r="B6" s="8" t="s">
        <v>4</v>
      </c>
      <c r="C6" s="3"/>
      <c r="D6" s="3"/>
      <c r="E6" s="3"/>
      <c r="F6" s="4"/>
      <c r="G6" s="4"/>
      <c r="H6" s="4"/>
      <c r="I6" s="4"/>
      <c r="J6" s="4"/>
    </row>
    <row r="7">
      <c r="A7" s="7">
        <f t="shared" si="1"/>
        <v>3</v>
      </c>
      <c r="B7" s="8" t="s">
        <v>5</v>
      </c>
      <c r="C7" s="3"/>
      <c r="D7" s="3"/>
      <c r="E7" s="3"/>
      <c r="F7" s="4"/>
      <c r="G7" s="4"/>
      <c r="H7" s="4"/>
      <c r="I7" s="4"/>
      <c r="J7" s="4"/>
    </row>
    <row r="8">
      <c r="A8" s="7">
        <f t="shared" si="1"/>
        <v>18</v>
      </c>
      <c r="B8" s="8" t="s">
        <v>6</v>
      </c>
      <c r="C8" s="3"/>
      <c r="D8" s="3"/>
      <c r="E8" s="3"/>
      <c r="F8" s="4"/>
      <c r="G8" s="4"/>
      <c r="H8" s="4"/>
      <c r="I8" s="4"/>
      <c r="J8" s="4"/>
    </row>
    <row r="9">
      <c r="A9" s="3"/>
      <c r="B9" s="3"/>
      <c r="C9" s="3"/>
      <c r="D9" s="3"/>
      <c r="E9" s="3"/>
      <c r="F9" s="4"/>
      <c r="G9" s="4"/>
      <c r="H9" s="4"/>
      <c r="I9" s="4"/>
      <c r="J9" s="4"/>
    </row>
    <row r="10">
      <c r="A10" s="9" t="s">
        <v>7</v>
      </c>
      <c r="F10" s="10" t="s">
        <v>8</v>
      </c>
    </row>
    <row r="11">
      <c r="A11" s="11" t="s">
        <v>9</v>
      </c>
      <c r="B11" s="11" t="s">
        <v>10</v>
      </c>
      <c r="C11" s="12" t="s">
        <v>11</v>
      </c>
      <c r="D11" s="12" t="s">
        <v>12</v>
      </c>
      <c r="E11" s="12" t="s">
        <v>13</v>
      </c>
      <c r="F11" s="11" t="s">
        <v>14</v>
      </c>
      <c r="G11" s="11" t="s">
        <v>15</v>
      </c>
      <c r="H11" s="11" t="s">
        <v>16</v>
      </c>
      <c r="I11" s="11" t="s">
        <v>17</v>
      </c>
      <c r="J11" s="11" t="s">
        <v>18</v>
      </c>
    </row>
    <row r="12">
      <c r="A12" s="13" t="s">
        <v>19</v>
      </c>
      <c r="B12" s="14" t="s">
        <v>20</v>
      </c>
      <c r="C12" s="14" t="s">
        <v>21</v>
      </c>
      <c r="D12" s="14" t="s">
        <v>6</v>
      </c>
      <c r="E12" s="15" t="s">
        <v>22</v>
      </c>
      <c r="F12" s="16">
        <v>5.0</v>
      </c>
      <c r="G12" s="16">
        <v>5.0</v>
      </c>
      <c r="H12" s="16">
        <v>5.0</v>
      </c>
      <c r="I12" s="16">
        <v>5.0</v>
      </c>
      <c r="J12" s="16">
        <v>5.0</v>
      </c>
    </row>
    <row r="13">
      <c r="A13" s="14" t="s">
        <v>23</v>
      </c>
      <c r="B13" s="14" t="s">
        <v>24</v>
      </c>
      <c r="C13" s="14" t="s">
        <v>25</v>
      </c>
      <c r="D13" s="14" t="s">
        <v>3</v>
      </c>
      <c r="E13" s="15" t="s">
        <v>26</v>
      </c>
      <c r="F13" s="16">
        <v>3.0</v>
      </c>
      <c r="G13" s="16">
        <v>3.0</v>
      </c>
      <c r="H13" s="16">
        <v>5.0</v>
      </c>
      <c r="I13" s="16">
        <v>5.0</v>
      </c>
      <c r="J13" s="16">
        <v>5.0</v>
      </c>
    </row>
    <row r="14">
      <c r="A14" s="14" t="s">
        <v>27</v>
      </c>
      <c r="B14" s="14" t="s">
        <v>28</v>
      </c>
      <c r="C14" s="14" t="s">
        <v>29</v>
      </c>
      <c r="D14" s="14" t="s">
        <v>3</v>
      </c>
      <c r="E14" s="15" t="s">
        <v>30</v>
      </c>
      <c r="F14" s="16">
        <v>1.0</v>
      </c>
      <c r="G14" s="16">
        <v>1.0</v>
      </c>
      <c r="H14" s="16">
        <v>3.0</v>
      </c>
      <c r="I14" s="16">
        <v>3.0</v>
      </c>
      <c r="J14" s="16">
        <v>3.0</v>
      </c>
    </row>
    <row r="15">
      <c r="A15" s="14" t="s">
        <v>31</v>
      </c>
      <c r="B15" s="14" t="s">
        <v>32</v>
      </c>
      <c r="C15" s="14" t="s">
        <v>33</v>
      </c>
      <c r="D15" s="14" t="s">
        <v>6</v>
      </c>
      <c r="E15" s="15" t="s">
        <v>30</v>
      </c>
      <c r="F15" s="16">
        <v>2.0</v>
      </c>
      <c r="G15" s="16">
        <v>2.0</v>
      </c>
      <c r="H15" s="16">
        <v>6.0</v>
      </c>
      <c r="I15" s="16">
        <v>6.0</v>
      </c>
      <c r="J15" s="16">
        <v>6.0</v>
      </c>
    </row>
    <row r="16">
      <c r="A16" s="14" t="s">
        <v>34</v>
      </c>
      <c r="B16" s="14" t="s">
        <v>35</v>
      </c>
      <c r="C16" s="14" t="s">
        <v>36</v>
      </c>
      <c r="D16" s="14" t="s">
        <v>6</v>
      </c>
      <c r="E16" s="15" t="s">
        <v>30</v>
      </c>
      <c r="F16" s="16">
        <v>5.0</v>
      </c>
      <c r="G16" s="16">
        <v>5.0</v>
      </c>
      <c r="H16" s="16">
        <v>1.0</v>
      </c>
      <c r="I16" s="16">
        <v>1.0</v>
      </c>
      <c r="J16" s="16">
        <v>1.0</v>
      </c>
    </row>
    <row r="17">
      <c r="A17" s="14" t="s">
        <v>37</v>
      </c>
      <c r="B17" s="14" t="s">
        <v>38</v>
      </c>
      <c r="C17" s="14" t="s">
        <v>39</v>
      </c>
      <c r="D17" s="14" t="s">
        <v>2</v>
      </c>
      <c r="E17" s="15" t="s">
        <v>40</v>
      </c>
      <c r="F17" s="16">
        <v>5.0</v>
      </c>
      <c r="G17" s="16">
        <v>5.0</v>
      </c>
      <c r="H17" s="16">
        <v>6.0</v>
      </c>
      <c r="I17" s="16">
        <v>6.0</v>
      </c>
      <c r="J17" s="16">
        <v>6.0</v>
      </c>
    </row>
    <row r="18">
      <c r="A18" s="14" t="s">
        <v>41</v>
      </c>
      <c r="B18" s="14" t="s">
        <v>42</v>
      </c>
      <c r="C18" s="14" t="s">
        <v>43</v>
      </c>
      <c r="D18" s="14" t="s">
        <v>6</v>
      </c>
      <c r="E18" s="14" t="s">
        <v>40</v>
      </c>
      <c r="F18" s="16">
        <v>6.0</v>
      </c>
      <c r="G18" s="16">
        <v>6.0</v>
      </c>
      <c r="H18" s="16">
        <v>5.0</v>
      </c>
      <c r="I18" s="16">
        <v>5.0</v>
      </c>
      <c r="J18" s="16">
        <v>5.0</v>
      </c>
    </row>
    <row r="19">
      <c r="A19" s="14" t="s">
        <v>44</v>
      </c>
      <c r="B19" s="14" t="s">
        <v>45</v>
      </c>
      <c r="C19" s="14" t="s">
        <v>46</v>
      </c>
      <c r="D19" s="14" t="s">
        <v>3</v>
      </c>
      <c r="E19" s="15" t="s">
        <v>47</v>
      </c>
      <c r="F19" s="16">
        <v>2.0</v>
      </c>
      <c r="G19" s="16">
        <v>2.0</v>
      </c>
      <c r="H19" s="16">
        <v>5.0</v>
      </c>
      <c r="I19" s="16">
        <v>5.0</v>
      </c>
      <c r="J19" s="16">
        <v>5.0</v>
      </c>
    </row>
    <row r="20">
      <c r="A20" s="14" t="s">
        <v>48</v>
      </c>
      <c r="B20" s="14" t="s">
        <v>49</v>
      </c>
      <c r="C20" s="14" t="s">
        <v>50</v>
      </c>
      <c r="D20" s="14" t="s">
        <v>4</v>
      </c>
      <c r="E20" s="15" t="s">
        <v>30</v>
      </c>
      <c r="F20" s="16">
        <v>4.0</v>
      </c>
      <c r="G20" s="16">
        <v>4.0</v>
      </c>
      <c r="H20" s="16">
        <v>2.0</v>
      </c>
      <c r="I20" s="16">
        <v>2.0</v>
      </c>
      <c r="J20" s="16">
        <v>2.0</v>
      </c>
    </row>
    <row r="21">
      <c r="A21" s="14" t="s">
        <v>51</v>
      </c>
      <c r="B21" s="14" t="s">
        <v>52</v>
      </c>
      <c r="C21" s="14" t="s">
        <v>53</v>
      </c>
      <c r="D21" s="14" t="s">
        <v>6</v>
      </c>
      <c r="E21" s="15" t="s">
        <v>30</v>
      </c>
      <c r="F21" s="16">
        <v>6.0</v>
      </c>
      <c r="G21" s="16">
        <v>6.0</v>
      </c>
      <c r="H21" s="16">
        <v>1.0</v>
      </c>
      <c r="I21" s="16">
        <v>1.0</v>
      </c>
      <c r="J21" s="16">
        <v>1.0</v>
      </c>
    </row>
    <row r="22">
      <c r="A22" s="14" t="s">
        <v>54</v>
      </c>
      <c r="B22" s="14" t="s">
        <v>55</v>
      </c>
      <c r="C22" s="14" t="s">
        <v>56</v>
      </c>
      <c r="D22" s="14" t="s">
        <v>5</v>
      </c>
      <c r="E22" s="15" t="s">
        <v>22</v>
      </c>
      <c r="F22" s="16">
        <v>4.0</v>
      </c>
      <c r="G22" s="16">
        <v>4.0</v>
      </c>
      <c r="H22" s="16">
        <v>6.0</v>
      </c>
      <c r="I22" s="16">
        <v>6.0</v>
      </c>
      <c r="J22" s="16">
        <v>6.0</v>
      </c>
    </row>
    <row r="23">
      <c r="A23" s="14" t="s">
        <v>57</v>
      </c>
      <c r="B23" s="14" t="s">
        <v>58</v>
      </c>
      <c r="C23" s="14" t="s">
        <v>59</v>
      </c>
      <c r="D23" s="14" t="s">
        <v>2</v>
      </c>
      <c r="E23" s="15" t="s">
        <v>40</v>
      </c>
      <c r="F23" s="16">
        <v>5.0</v>
      </c>
      <c r="G23" s="16">
        <v>5.0</v>
      </c>
      <c r="H23" s="16">
        <v>3.0</v>
      </c>
      <c r="I23" s="16">
        <v>3.0</v>
      </c>
      <c r="J23" s="16">
        <v>3.0</v>
      </c>
    </row>
    <row r="24">
      <c r="A24" s="14" t="s">
        <v>60</v>
      </c>
      <c r="B24" s="14" t="s">
        <v>61</v>
      </c>
      <c r="C24" s="14" t="s">
        <v>62</v>
      </c>
      <c r="D24" s="14" t="s">
        <v>6</v>
      </c>
      <c r="E24" s="14" t="s">
        <v>22</v>
      </c>
      <c r="F24" s="16">
        <v>4.0</v>
      </c>
      <c r="G24" s="16">
        <v>4.0</v>
      </c>
      <c r="H24" s="16">
        <v>2.0</v>
      </c>
      <c r="I24" s="16">
        <v>2.0</v>
      </c>
      <c r="J24" s="16">
        <v>2.0</v>
      </c>
    </row>
    <row r="25">
      <c r="A25" s="14" t="s">
        <v>63</v>
      </c>
      <c r="B25" s="14" t="s">
        <v>64</v>
      </c>
      <c r="C25" s="14" t="s">
        <v>65</v>
      </c>
      <c r="D25" s="14" t="s">
        <v>3</v>
      </c>
      <c r="E25" s="15" t="s">
        <v>30</v>
      </c>
      <c r="F25" s="16">
        <v>1.0</v>
      </c>
      <c r="G25" s="16">
        <v>1.0</v>
      </c>
      <c r="H25" s="16">
        <v>3.0</v>
      </c>
      <c r="I25" s="16">
        <v>3.0</v>
      </c>
      <c r="J25" s="16">
        <v>3.0</v>
      </c>
    </row>
    <row r="26">
      <c r="A26" s="14" t="s">
        <v>66</v>
      </c>
      <c r="B26" s="14" t="s">
        <v>67</v>
      </c>
      <c r="C26" s="14" t="s">
        <v>68</v>
      </c>
      <c r="D26" s="14" t="s">
        <v>6</v>
      </c>
      <c r="E26" s="15" t="s">
        <v>47</v>
      </c>
      <c r="F26" s="16">
        <v>2.0</v>
      </c>
      <c r="G26" s="16">
        <v>2.0</v>
      </c>
      <c r="H26" s="16">
        <v>2.0</v>
      </c>
      <c r="I26" s="16">
        <v>2.0</v>
      </c>
      <c r="J26" s="16">
        <v>2.0</v>
      </c>
    </row>
    <row r="27">
      <c r="A27" s="14" t="s">
        <v>69</v>
      </c>
      <c r="B27" s="14" t="s">
        <v>70</v>
      </c>
      <c r="C27" s="14" t="s">
        <v>71</v>
      </c>
      <c r="D27" s="14" t="s">
        <v>6</v>
      </c>
      <c r="E27" s="15" t="s">
        <v>72</v>
      </c>
      <c r="F27" s="16">
        <v>3.0</v>
      </c>
      <c r="G27" s="16">
        <v>3.0</v>
      </c>
      <c r="H27" s="16">
        <v>1.0</v>
      </c>
      <c r="I27" s="16">
        <v>1.0</v>
      </c>
      <c r="J27" s="16">
        <v>1.0</v>
      </c>
    </row>
    <row r="28">
      <c r="A28" s="14" t="s">
        <v>73</v>
      </c>
      <c r="B28" s="14" t="s">
        <v>74</v>
      </c>
      <c r="C28" s="14" t="s">
        <v>75</v>
      </c>
      <c r="D28" s="14" t="s">
        <v>6</v>
      </c>
      <c r="E28" s="15" t="s">
        <v>47</v>
      </c>
      <c r="F28" s="16">
        <v>4.0</v>
      </c>
      <c r="G28" s="16">
        <v>4.0</v>
      </c>
      <c r="H28" s="16">
        <v>5.0</v>
      </c>
      <c r="I28" s="16">
        <v>5.0</v>
      </c>
      <c r="J28" s="16">
        <v>5.0</v>
      </c>
      <c r="L28" s="17">
        <v>3.0</v>
      </c>
    </row>
    <row r="29">
      <c r="A29" s="14" t="s">
        <v>76</v>
      </c>
      <c r="B29" s="14" t="s">
        <v>77</v>
      </c>
      <c r="C29" s="14" t="s">
        <v>78</v>
      </c>
      <c r="D29" s="14" t="s">
        <v>3</v>
      </c>
      <c r="E29" s="15" t="s">
        <v>40</v>
      </c>
      <c r="F29" s="16">
        <v>6.0</v>
      </c>
      <c r="G29" s="16">
        <v>6.0</v>
      </c>
      <c r="H29" s="16">
        <v>1.0</v>
      </c>
      <c r="I29" s="16">
        <v>1.0</v>
      </c>
      <c r="J29" s="16">
        <v>1.0</v>
      </c>
    </row>
    <row r="30">
      <c r="A30" s="14" t="s">
        <v>79</v>
      </c>
      <c r="B30" s="14" t="s">
        <v>80</v>
      </c>
      <c r="C30" s="14" t="s">
        <v>81</v>
      </c>
      <c r="D30" s="14" t="s">
        <v>6</v>
      </c>
      <c r="E30" s="15" t="s">
        <v>40</v>
      </c>
      <c r="F30" s="16">
        <v>3.0</v>
      </c>
      <c r="G30" s="16">
        <v>3.0</v>
      </c>
      <c r="H30" s="16">
        <v>1.0</v>
      </c>
      <c r="I30" s="16">
        <v>1.0</v>
      </c>
      <c r="J30" s="16">
        <v>1.0</v>
      </c>
    </row>
    <row r="31">
      <c r="A31" s="14" t="s">
        <v>82</v>
      </c>
      <c r="B31" s="14" t="s">
        <v>83</v>
      </c>
      <c r="C31" s="14" t="s">
        <v>84</v>
      </c>
      <c r="D31" s="14" t="s">
        <v>6</v>
      </c>
      <c r="E31" s="15" t="s">
        <v>30</v>
      </c>
      <c r="F31" s="16">
        <v>6.0</v>
      </c>
      <c r="G31" s="16">
        <v>6.0</v>
      </c>
      <c r="H31" s="16">
        <v>4.0</v>
      </c>
      <c r="I31" s="16">
        <v>4.0</v>
      </c>
      <c r="J31" s="16">
        <v>4.0</v>
      </c>
    </row>
    <row r="32">
      <c r="A32" s="14" t="s">
        <v>85</v>
      </c>
      <c r="B32" s="14" t="s">
        <v>86</v>
      </c>
      <c r="C32" s="14" t="s">
        <v>87</v>
      </c>
      <c r="D32" s="14" t="s">
        <v>6</v>
      </c>
      <c r="E32" s="15" t="s">
        <v>72</v>
      </c>
      <c r="F32" s="16">
        <v>4.0</v>
      </c>
      <c r="G32" s="16">
        <v>4.0</v>
      </c>
      <c r="H32" s="16">
        <v>3.0</v>
      </c>
      <c r="I32" s="16">
        <v>3.0</v>
      </c>
      <c r="J32" s="16">
        <v>3.0</v>
      </c>
    </row>
    <row r="33">
      <c r="A33" s="14" t="s">
        <v>88</v>
      </c>
      <c r="B33" s="14" t="s">
        <v>89</v>
      </c>
      <c r="C33" s="14" t="s">
        <v>90</v>
      </c>
      <c r="D33" s="14" t="s">
        <v>6</v>
      </c>
      <c r="E33" s="15" t="s">
        <v>47</v>
      </c>
      <c r="F33" s="16">
        <v>1.0</v>
      </c>
      <c r="G33" s="16">
        <v>1.0</v>
      </c>
      <c r="H33" s="16">
        <v>2.0</v>
      </c>
      <c r="I33" s="16">
        <v>2.0</v>
      </c>
      <c r="J33" s="16">
        <v>2.0</v>
      </c>
    </row>
    <row r="34">
      <c r="A34" s="14" t="s">
        <v>91</v>
      </c>
      <c r="B34" s="14" t="s">
        <v>92</v>
      </c>
      <c r="C34" s="14" t="s">
        <v>93</v>
      </c>
      <c r="D34" s="14" t="s">
        <v>6</v>
      </c>
      <c r="E34" s="14" t="s">
        <v>94</v>
      </c>
      <c r="F34" s="16">
        <v>2.0</v>
      </c>
      <c r="G34" s="16">
        <v>2.0</v>
      </c>
      <c r="H34" s="16">
        <v>4.0</v>
      </c>
      <c r="I34" s="16">
        <v>4.0</v>
      </c>
      <c r="J34" s="16">
        <v>4.0</v>
      </c>
    </row>
    <row r="35">
      <c r="A35" s="14" t="s">
        <v>95</v>
      </c>
      <c r="B35" s="14" t="s">
        <v>96</v>
      </c>
      <c r="C35" s="14" t="s">
        <v>97</v>
      </c>
      <c r="D35" s="14" t="s">
        <v>6</v>
      </c>
      <c r="E35" s="14" t="s">
        <v>98</v>
      </c>
      <c r="F35" s="16">
        <v>1.0</v>
      </c>
      <c r="G35" s="16">
        <v>1.0</v>
      </c>
      <c r="H35" s="16">
        <v>4.0</v>
      </c>
      <c r="I35" s="16">
        <v>4.0</v>
      </c>
      <c r="J35" s="16">
        <v>4.0</v>
      </c>
    </row>
    <row r="36">
      <c r="A36" s="14" t="s">
        <v>99</v>
      </c>
      <c r="B36" s="14" t="s">
        <v>100</v>
      </c>
      <c r="C36" s="14" t="s">
        <v>101</v>
      </c>
      <c r="D36" s="14" t="s">
        <v>2</v>
      </c>
      <c r="E36" s="15" t="s">
        <v>40</v>
      </c>
      <c r="F36" s="16">
        <v>5.0</v>
      </c>
      <c r="G36" s="16">
        <v>5.0</v>
      </c>
      <c r="H36" s="16">
        <v>4.0</v>
      </c>
      <c r="I36" s="16">
        <v>4.0</v>
      </c>
      <c r="J36" s="16">
        <v>4.0</v>
      </c>
    </row>
    <row r="37">
      <c r="A37" s="14" t="s">
        <v>102</v>
      </c>
      <c r="B37" s="14" t="s">
        <v>103</v>
      </c>
      <c r="C37" s="14" t="s">
        <v>104</v>
      </c>
      <c r="D37" s="14" t="s">
        <v>5</v>
      </c>
      <c r="E37" s="15" t="s">
        <v>30</v>
      </c>
      <c r="F37" s="16">
        <v>1.0</v>
      </c>
      <c r="G37" s="16">
        <v>1.0</v>
      </c>
      <c r="H37" s="16">
        <v>4.0</v>
      </c>
      <c r="I37" s="16">
        <v>4.0</v>
      </c>
      <c r="J37" s="16">
        <v>4.0</v>
      </c>
    </row>
    <row r="38">
      <c r="A38" s="14" t="s">
        <v>105</v>
      </c>
      <c r="B38" s="14" t="s">
        <v>106</v>
      </c>
      <c r="C38" s="14" t="s">
        <v>107</v>
      </c>
      <c r="D38" s="14" t="s">
        <v>5</v>
      </c>
      <c r="E38" s="15" t="s">
        <v>30</v>
      </c>
      <c r="F38" s="16">
        <v>6.0</v>
      </c>
      <c r="G38" s="16">
        <v>6.0</v>
      </c>
      <c r="H38" s="16">
        <v>6.0</v>
      </c>
      <c r="I38" s="16">
        <v>6.0</v>
      </c>
      <c r="J38" s="16">
        <v>6.0</v>
      </c>
    </row>
    <row r="39">
      <c r="A39" s="14" t="s">
        <v>108</v>
      </c>
      <c r="B39" s="14" t="s">
        <v>109</v>
      </c>
      <c r="C39" s="14" t="s">
        <v>110</v>
      </c>
      <c r="D39" s="14" t="s">
        <v>6</v>
      </c>
      <c r="E39" s="14" t="s">
        <v>30</v>
      </c>
      <c r="F39" s="16">
        <v>3.0</v>
      </c>
      <c r="G39" s="16">
        <v>3.0</v>
      </c>
      <c r="H39" s="16">
        <v>6.0</v>
      </c>
      <c r="I39" s="16">
        <v>6.0</v>
      </c>
      <c r="J39" s="16">
        <v>6.0</v>
      </c>
    </row>
    <row r="40">
      <c r="A40" s="14" t="s">
        <v>111</v>
      </c>
      <c r="B40" s="14" t="s">
        <v>112</v>
      </c>
      <c r="C40" s="14" t="s">
        <v>113</v>
      </c>
      <c r="D40" s="14" t="s">
        <v>6</v>
      </c>
      <c r="E40" s="15" t="s">
        <v>40</v>
      </c>
      <c r="F40" s="16">
        <v>3.0</v>
      </c>
      <c r="G40" s="16">
        <v>3.0</v>
      </c>
      <c r="H40" s="16">
        <v>3.0</v>
      </c>
      <c r="I40" s="16">
        <v>3.0</v>
      </c>
      <c r="J40" s="16">
        <v>3.0</v>
      </c>
    </row>
    <row r="41">
      <c r="A41" s="14" t="s">
        <v>114</v>
      </c>
      <c r="B41" s="14" t="s">
        <v>115</v>
      </c>
      <c r="C41" s="14" t="s">
        <v>116</v>
      </c>
      <c r="D41" s="14" t="s">
        <v>6</v>
      </c>
      <c r="E41" s="14" t="s">
        <v>72</v>
      </c>
      <c r="F41" s="16">
        <v>2.0</v>
      </c>
      <c r="G41" s="16">
        <v>2.0</v>
      </c>
      <c r="H41" s="16">
        <v>2.0</v>
      </c>
      <c r="I41" s="16">
        <v>2.0</v>
      </c>
      <c r="J41" s="16">
        <v>2.0</v>
      </c>
    </row>
  </sheetData>
  <autoFilter ref="$A$3:$B$8">
    <sortState ref="A3:B8">
      <sortCondition ref="B3:B8"/>
    </sortState>
  </autoFilter>
  <mergeCells count="2">
    <mergeCell ref="A10:E10"/>
    <mergeCell ref="F10:J10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9.71"/>
    <col customWidth="1" min="3" max="6" width="8.71"/>
    <col customWidth="1" min="7" max="7" width="12.0"/>
    <col customWidth="1" min="8" max="8" width="9.71"/>
    <col customWidth="1" min="9" max="9" width="9.43"/>
    <col customWidth="1" min="10" max="10" width="9.57"/>
    <col customWidth="1" min="11" max="12" width="8.71"/>
    <col customWidth="1" min="13" max="13" width="12.0"/>
    <col customWidth="1" min="14" max="14" width="8.71"/>
    <col customWidth="1" min="15" max="15" width="20.71"/>
    <col customWidth="1" min="16" max="16" width="17.57"/>
    <col customWidth="1" min="17" max="17" width="37.29"/>
    <col customWidth="1" min="18" max="18" width="8.29"/>
    <col customWidth="1" min="19" max="21" width="8.71"/>
    <col customWidth="1" min="22" max="22" width="11.57"/>
    <col customWidth="1" min="23" max="23" width="13.0"/>
    <col customWidth="1" min="24" max="24" width="9.14"/>
    <col customWidth="1" min="25" max="25" width="10.71"/>
    <col customWidth="1" min="26" max="26" width="16.0"/>
    <col customWidth="1" min="27" max="27" width="28.14"/>
    <col customWidth="1" min="28" max="28" width="44.57"/>
    <col customWidth="1" min="29" max="29" width="26.0"/>
    <col customWidth="1" min="30" max="30" width="18.43"/>
  </cols>
  <sheetData>
    <row r="1">
      <c r="A1" s="18" t="s">
        <v>117</v>
      </c>
      <c r="B1" s="19" t="s">
        <v>118</v>
      </c>
      <c r="C1" s="20"/>
      <c r="D1" s="20"/>
      <c r="E1" s="20"/>
      <c r="F1" s="21"/>
      <c r="G1" s="19" t="s">
        <v>119</v>
      </c>
      <c r="H1" s="20"/>
      <c r="I1" s="20"/>
      <c r="J1" s="20"/>
      <c r="K1" s="21"/>
      <c r="L1" s="22" t="s">
        <v>120</v>
      </c>
      <c r="M1" s="18" t="s">
        <v>121</v>
      </c>
      <c r="N1" s="18" t="s">
        <v>122</v>
      </c>
      <c r="O1" s="18" t="s">
        <v>123</v>
      </c>
      <c r="P1" s="23" t="s">
        <v>124</v>
      </c>
      <c r="Q1" s="24" t="s">
        <v>125</v>
      </c>
      <c r="R1" s="25" t="s">
        <v>126</v>
      </c>
      <c r="S1" s="26" t="s">
        <v>127</v>
      </c>
      <c r="T1" s="27"/>
      <c r="U1" s="28" t="s">
        <v>128</v>
      </c>
      <c r="V1" s="28" t="s">
        <v>129</v>
      </c>
      <c r="W1" s="28" t="s">
        <v>130</v>
      </c>
      <c r="X1" s="29" t="s">
        <v>131</v>
      </c>
      <c r="Y1" s="30" t="s">
        <v>132</v>
      </c>
      <c r="Z1" s="31" t="s">
        <v>133</v>
      </c>
      <c r="AA1" s="32" t="s">
        <v>134</v>
      </c>
      <c r="AB1" s="32" t="s">
        <v>11</v>
      </c>
      <c r="AC1" s="32" t="s">
        <v>12</v>
      </c>
      <c r="AD1" s="32" t="s">
        <v>13</v>
      </c>
      <c r="AE1" s="33"/>
    </row>
    <row r="2" ht="44.25" customHeight="1">
      <c r="A2" s="34"/>
      <c r="B2" s="35" t="s">
        <v>135</v>
      </c>
      <c r="C2" s="35" t="s">
        <v>136</v>
      </c>
      <c r="D2" s="35" t="s">
        <v>137</v>
      </c>
      <c r="E2" s="35" t="s">
        <v>138</v>
      </c>
      <c r="F2" s="35" t="s">
        <v>139</v>
      </c>
      <c r="G2" s="35" t="s">
        <v>140</v>
      </c>
      <c r="H2" s="35" t="s">
        <v>141</v>
      </c>
      <c r="I2" s="35" t="s">
        <v>137</v>
      </c>
      <c r="J2" s="35" t="s">
        <v>142</v>
      </c>
      <c r="K2" s="35" t="s">
        <v>139</v>
      </c>
      <c r="L2" s="36"/>
      <c r="M2" s="34"/>
      <c r="N2" s="34"/>
      <c r="O2" s="34"/>
      <c r="P2" s="37"/>
      <c r="Q2" s="37"/>
      <c r="R2" s="38"/>
      <c r="S2" s="38"/>
      <c r="T2" s="39">
        <v>81.0</v>
      </c>
      <c r="U2" s="40">
        <v>1.0</v>
      </c>
      <c r="V2" s="41">
        <v>5.0</v>
      </c>
      <c r="W2" s="42" t="str">
        <f t="shared" ref="W2:W31" si="3">IF(V2=1,$S$3,IF(V2=2,$S$4,IF(V2=3,$S$5,IF(V2=4,$S$6,IF(V2=5,$S$7,IF(V2=6,$S$8))))))</f>
        <v>80</v>
      </c>
      <c r="X2" s="43">
        <v>1.0</v>
      </c>
      <c r="Y2" s="44">
        <f t="shared" ref="Y2:Y31" si="4">W2+X2</f>
        <v>81</v>
      </c>
      <c r="Z2" s="45" t="s">
        <v>143</v>
      </c>
      <c r="AA2" s="46" t="s">
        <v>20</v>
      </c>
      <c r="AB2" s="46" t="s">
        <v>21</v>
      </c>
      <c r="AC2" s="46" t="s">
        <v>6</v>
      </c>
      <c r="AD2" s="47" t="s">
        <v>22</v>
      </c>
      <c r="AE2" s="41"/>
    </row>
    <row r="3" ht="14.25" customHeight="1">
      <c r="A3" s="48" t="s">
        <v>144</v>
      </c>
      <c r="B3" s="49">
        <f t="shared" ref="B3:B8" si="5">IF(AND(B15&gt;=60,B15&lt;=79),25,0)</f>
        <v>25</v>
      </c>
      <c r="C3" s="49">
        <f t="shared" ref="C3:C8" si="6">IF(C15&gt;=80,25,0)</f>
        <v>0</v>
      </c>
      <c r="D3" s="49">
        <f t="shared" ref="D3:F3" si="1">IF(AND(D15&gt;=60,D15&lt;=79),25,0)</f>
        <v>0</v>
      </c>
      <c r="E3" s="49">
        <f t="shared" si="1"/>
        <v>0</v>
      </c>
      <c r="F3" s="49">
        <f t="shared" si="1"/>
        <v>0</v>
      </c>
      <c r="G3" s="49">
        <f t="shared" ref="G3:G8" si="8">IF(G15&lt;60,25,0)</f>
        <v>0</v>
      </c>
      <c r="H3" s="49">
        <f t="shared" ref="H3:K3" si="2">IF(AND(H15&gt;=60,H15&lt;=79),25,0)</f>
        <v>25</v>
      </c>
      <c r="I3" s="49">
        <f t="shared" si="2"/>
        <v>0</v>
      </c>
      <c r="J3" s="49">
        <f t="shared" si="2"/>
        <v>25</v>
      </c>
      <c r="K3" s="49">
        <f t="shared" si="2"/>
        <v>0</v>
      </c>
      <c r="L3" s="50">
        <f t="shared" ref="L3:L8" si="10">SUM(B3:K3)</f>
        <v>75</v>
      </c>
      <c r="M3" s="51">
        <f t="shared" ref="M3:M8" si="11">L3/10+15</f>
        <v>22.5</v>
      </c>
      <c r="N3" s="52">
        <v>45.0</v>
      </c>
      <c r="O3" s="53">
        <v>2.0</v>
      </c>
      <c r="P3" s="54"/>
      <c r="Q3" s="55">
        <f t="shared" ref="Q3:Q8" si="12">M3+N3</f>
        <v>67.5</v>
      </c>
      <c r="R3" s="56">
        <f t="shared" ref="R3:R8" si="13">S3-Q3</f>
        <v>12.5</v>
      </c>
      <c r="S3" s="57" t="str">
        <f t="shared" ref="S3:S8" si="14">IF(Q3&lt;=80,"80",(Q3))</f>
        <v>80</v>
      </c>
      <c r="T3" s="39">
        <v>84.0</v>
      </c>
      <c r="U3" s="40">
        <v>2.0</v>
      </c>
      <c r="V3" s="41">
        <v>3.0</v>
      </c>
      <c r="W3" s="58" t="str">
        <f t="shared" si="3"/>
        <v>80</v>
      </c>
      <c r="X3" s="59">
        <v>4.0</v>
      </c>
      <c r="Y3" s="44">
        <f t="shared" si="4"/>
        <v>84</v>
      </c>
      <c r="Z3" s="45" t="s">
        <v>145</v>
      </c>
      <c r="AA3" s="46" t="s">
        <v>24</v>
      </c>
      <c r="AB3" s="46" t="s">
        <v>25</v>
      </c>
      <c r="AC3" s="46" t="s">
        <v>3</v>
      </c>
      <c r="AD3" s="47" t="s">
        <v>26</v>
      </c>
      <c r="AE3" s="41"/>
    </row>
    <row r="4" ht="14.25" customHeight="1">
      <c r="A4" s="48" t="s">
        <v>146</v>
      </c>
      <c r="B4" s="49">
        <f t="shared" si="5"/>
        <v>0</v>
      </c>
      <c r="C4" s="49">
        <f t="shared" si="6"/>
        <v>0</v>
      </c>
      <c r="D4" s="49">
        <f t="shared" ref="D4:F4" si="7">IF(AND(D16&gt;=60,D16&lt;=79),25,0)</f>
        <v>25</v>
      </c>
      <c r="E4" s="49">
        <f t="shared" si="7"/>
        <v>25</v>
      </c>
      <c r="F4" s="49">
        <f t="shared" si="7"/>
        <v>0</v>
      </c>
      <c r="G4" s="49">
        <f t="shared" si="8"/>
        <v>0</v>
      </c>
      <c r="H4" s="49">
        <f t="shared" ref="H4:K4" si="9">IF(AND(H16&gt;=60,H16&lt;=79),25,0)</f>
        <v>0</v>
      </c>
      <c r="I4" s="49">
        <f t="shared" si="9"/>
        <v>0</v>
      </c>
      <c r="J4" s="49">
        <f t="shared" si="9"/>
        <v>25</v>
      </c>
      <c r="K4" s="49">
        <f t="shared" si="9"/>
        <v>0</v>
      </c>
      <c r="L4" s="50">
        <f t="shared" si="10"/>
        <v>75</v>
      </c>
      <c r="M4" s="51">
        <f t="shared" si="11"/>
        <v>22.5</v>
      </c>
      <c r="N4" s="52">
        <v>45.0</v>
      </c>
      <c r="O4" s="53">
        <v>2.0</v>
      </c>
      <c r="P4" s="54"/>
      <c r="Q4" s="55">
        <f t="shared" si="12"/>
        <v>67.5</v>
      </c>
      <c r="R4" s="56">
        <f t="shared" si="13"/>
        <v>12.5</v>
      </c>
      <c r="S4" s="57" t="str">
        <f t="shared" si="14"/>
        <v>80</v>
      </c>
      <c r="T4" s="39">
        <v>80.0</v>
      </c>
      <c r="U4" s="40">
        <v>3.0</v>
      </c>
      <c r="V4" s="41">
        <v>1.0</v>
      </c>
      <c r="W4" s="42" t="str">
        <f t="shared" si="3"/>
        <v>80</v>
      </c>
      <c r="X4" s="60"/>
      <c r="Y4" s="44">
        <f t="shared" si="4"/>
        <v>80</v>
      </c>
      <c r="Z4" s="61"/>
      <c r="AA4" s="46" t="s">
        <v>28</v>
      </c>
      <c r="AB4" s="46" t="s">
        <v>29</v>
      </c>
      <c r="AC4" s="46" t="s">
        <v>3</v>
      </c>
      <c r="AD4" s="47" t="s">
        <v>30</v>
      </c>
      <c r="AE4" s="41"/>
    </row>
    <row r="5" ht="14.25" customHeight="1">
      <c r="A5" s="48" t="s">
        <v>147</v>
      </c>
      <c r="B5" s="49">
        <f t="shared" si="5"/>
        <v>0</v>
      </c>
      <c r="C5" s="49">
        <f t="shared" si="6"/>
        <v>0</v>
      </c>
      <c r="D5" s="49">
        <f t="shared" ref="D5:F5" si="15">IF(AND(D17&gt;=60,D17&lt;=79),25,0)</f>
        <v>25</v>
      </c>
      <c r="E5" s="49">
        <f t="shared" si="15"/>
        <v>25</v>
      </c>
      <c r="F5" s="49">
        <f t="shared" si="15"/>
        <v>0</v>
      </c>
      <c r="G5" s="49">
        <f t="shared" si="8"/>
        <v>0</v>
      </c>
      <c r="H5" s="49">
        <f t="shared" ref="H5:K5" si="16">IF(AND(H17&gt;=60,H17&lt;=79),25,0)</f>
        <v>25</v>
      </c>
      <c r="I5" s="49">
        <f t="shared" si="16"/>
        <v>0</v>
      </c>
      <c r="J5" s="49">
        <f t="shared" si="16"/>
        <v>0</v>
      </c>
      <c r="K5" s="49">
        <f t="shared" si="16"/>
        <v>25</v>
      </c>
      <c r="L5" s="50">
        <f t="shared" si="10"/>
        <v>100</v>
      </c>
      <c r="M5" s="51">
        <f t="shared" si="11"/>
        <v>25</v>
      </c>
      <c r="N5" s="52">
        <v>45.0</v>
      </c>
      <c r="O5" s="53">
        <v>2.0</v>
      </c>
      <c r="P5" s="62">
        <v>3.0</v>
      </c>
      <c r="Q5" s="55">
        <f t="shared" si="12"/>
        <v>70</v>
      </c>
      <c r="R5" s="56">
        <f t="shared" si="13"/>
        <v>10</v>
      </c>
      <c r="S5" s="57" t="str">
        <f t="shared" si="14"/>
        <v>80</v>
      </c>
      <c r="T5" s="39">
        <v>80.0</v>
      </c>
      <c r="U5" s="40">
        <v>4.0</v>
      </c>
      <c r="V5" s="41">
        <v>2.0</v>
      </c>
      <c r="W5" s="58" t="str">
        <f t="shared" si="3"/>
        <v>80</v>
      </c>
      <c r="X5" s="63"/>
      <c r="Y5" s="44">
        <f t="shared" si="4"/>
        <v>80</v>
      </c>
      <c r="Z5" s="61"/>
      <c r="AA5" s="46" t="s">
        <v>32</v>
      </c>
      <c r="AB5" s="46" t="s">
        <v>33</v>
      </c>
      <c r="AC5" s="46" t="s">
        <v>6</v>
      </c>
      <c r="AD5" s="47" t="s">
        <v>30</v>
      </c>
      <c r="AE5" s="41"/>
    </row>
    <row r="6" ht="14.25" customHeight="1">
      <c r="A6" s="48" t="s">
        <v>148</v>
      </c>
      <c r="B6" s="49">
        <f t="shared" si="5"/>
        <v>0</v>
      </c>
      <c r="C6" s="49">
        <f t="shared" si="6"/>
        <v>25</v>
      </c>
      <c r="D6" s="49">
        <f t="shared" ref="D6:F6" si="17">IF(AND(D18&gt;=60,D18&lt;=79),25,0)</f>
        <v>25</v>
      </c>
      <c r="E6" s="49">
        <f t="shared" si="17"/>
        <v>0</v>
      </c>
      <c r="F6" s="49">
        <f t="shared" si="17"/>
        <v>0</v>
      </c>
      <c r="G6" s="49">
        <f t="shared" si="8"/>
        <v>0</v>
      </c>
      <c r="H6" s="49">
        <f t="shared" ref="H6:K6" si="18">IF(AND(H18&gt;=60,H18&lt;=79),25,0)</f>
        <v>0</v>
      </c>
      <c r="I6" s="49">
        <f t="shared" si="18"/>
        <v>0</v>
      </c>
      <c r="J6" s="49">
        <f t="shared" si="18"/>
        <v>0</v>
      </c>
      <c r="K6" s="49">
        <f t="shared" si="18"/>
        <v>0</v>
      </c>
      <c r="L6" s="50">
        <f t="shared" si="10"/>
        <v>50</v>
      </c>
      <c r="M6" s="51">
        <f t="shared" si="11"/>
        <v>20</v>
      </c>
      <c r="N6" s="52">
        <v>45.0</v>
      </c>
      <c r="O6" s="53">
        <v>2.0</v>
      </c>
      <c r="P6" s="54"/>
      <c r="Q6" s="55">
        <f t="shared" si="12"/>
        <v>65</v>
      </c>
      <c r="R6" s="56">
        <f t="shared" si="13"/>
        <v>15</v>
      </c>
      <c r="S6" s="57" t="str">
        <f t="shared" si="14"/>
        <v>80</v>
      </c>
      <c r="T6" s="39">
        <v>81.0</v>
      </c>
      <c r="U6" s="40">
        <v>5.0</v>
      </c>
      <c r="V6" s="41">
        <v>5.0</v>
      </c>
      <c r="W6" s="42" t="str">
        <f t="shared" si="3"/>
        <v>80</v>
      </c>
      <c r="X6" s="64">
        <v>1.0</v>
      </c>
      <c r="Y6" s="44">
        <f t="shared" si="4"/>
        <v>81</v>
      </c>
      <c r="Z6" s="45" t="s">
        <v>143</v>
      </c>
      <c r="AA6" s="46" t="s">
        <v>35</v>
      </c>
      <c r="AB6" s="46" t="s">
        <v>36</v>
      </c>
      <c r="AC6" s="46" t="s">
        <v>6</v>
      </c>
      <c r="AD6" s="47" t="s">
        <v>30</v>
      </c>
      <c r="AE6" s="41"/>
    </row>
    <row r="7" ht="14.25" customHeight="1">
      <c r="A7" s="48" t="s">
        <v>149</v>
      </c>
      <c r="B7" s="49">
        <f t="shared" si="5"/>
        <v>25</v>
      </c>
      <c r="C7" s="49">
        <f t="shared" si="6"/>
        <v>25</v>
      </c>
      <c r="D7" s="49">
        <f t="shared" ref="D7:F7" si="19">IF(AND(D19&gt;=60,D19&lt;=79),25,0)</f>
        <v>0</v>
      </c>
      <c r="E7" s="49">
        <f t="shared" si="19"/>
        <v>0</v>
      </c>
      <c r="F7" s="49">
        <f t="shared" si="19"/>
        <v>0</v>
      </c>
      <c r="G7" s="49">
        <f t="shared" si="8"/>
        <v>0</v>
      </c>
      <c r="H7" s="49">
        <f t="shared" ref="H7:K7" si="20">IF(AND(H19&gt;=60,H19&lt;=79),25,0)</f>
        <v>0</v>
      </c>
      <c r="I7" s="49">
        <f t="shared" si="20"/>
        <v>0</v>
      </c>
      <c r="J7" s="49">
        <f t="shared" si="20"/>
        <v>0</v>
      </c>
      <c r="K7" s="49">
        <f t="shared" si="20"/>
        <v>0</v>
      </c>
      <c r="L7" s="50">
        <f t="shared" si="10"/>
        <v>50</v>
      </c>
      <c r="M7" s="51">
        <f t="shared" si="11"/>
        <v>20</v>
      </c>
      <c r="N7" s="52">
        <v>45.0</v>
      </c>
      <c r="O7" s="53">
        <v>2.0</v>
      </c>
      <c r="P7" s="62">
        <v>3.0</v>
      </c>
      <c r="Q7" s="55">
        <f t="shared" si="12"/>
        <v>65</v>
      </c>
      <c r="R7" s="56">
        <f t="shared" si="13"/>
        <v>15</v>
      </c>
      <c r="S7" s="57" t="str">
        <f t="shared" si="14"/>
        <v>80</v>
      </c>
      <c r="T7" s="39">
        <v>80.0</v>
      </c>
      <c r="U7" s="40">
        <v>6.0</v>
      </c>
      <c r="V7" s="41">
        <v>5.0</v>
      </c>
      <c r="W7" s="58" t="str">
        <f t="shared" si="3"/>
        <v>80</v>
      </c>
      <c r="X7" s="63"/>
      <c r="Y7" s="44">
        <f t="shared" si="4"/>
        <v>80</v>
      </c>
      <c r="Z7" s="61"/>
      <c r="AA7" s="46" t="s">
        <v>38</v>
      </c>
      <c r="AB7" s="46" t="s">
        <v>39</v>
      </c>
      <c r="AC7" s="46" t="s">
        <v>2</v>
      </c>
      <c r="AD7" s="47" t="s">
        <v>40</v>
      </c>
      <c r="AE7" s="41"/>
    </row>
    <row r="8" ht="14.25" customHeight="1">
      <c r="A8" s="48" t="s">
        <v>150</v>
      </c>
      <c r="B8" s="49">
        <f t="shared" si="5"/>
        <v>25</v>
      </c>
      <c r="C8" s="49">
        <f t="shared" si="6"/>
        <v>25</v>
      </c>
      <c r="D8" s="49">
        <f t="shared" ref="D8:F8" si="21">IF(AND(D20&gt;=60,D20&lt;=79),25,0)</f>
        <v>0</v>
      </c>
      <c r="E8" s="49">
        <f t="shared" si="21"/>
        <v>0</v>
      </c>
      <c r="F8" s="49">
        <f t="shared" si="21"/>
        <v>25</v>
      </c>
      <c r="G8" s="49">
        <f t="shared" si="8"/>
        <v>0</v>
      </c>
      <c r="H8" s="49">
        <f t="shared" ref="H8:K8" si="22">IF(AND(H20&gt;=60,H20&lt;=79),25,0)</f>
        <v>0</v>
      </c>
      <c r="I8" s="49">
        <f t="shared" si="22"/>
        <v>0</v>
      </c>
      <c r="J8" s="49">
        <f t="shared" si="22"/>
        <v>0</v>
      </c>
      <c r="K8" s="49">
        <f t="shared" si="22"/>
        <v>0</v>
      </c>
      <c r="L8" s="50">
        <f t="shared" si="10"/>
        <v>75</v>
      </c>
      <c r="M8" s="51">
        <f t="shared" si="11"/>
        <v>22.5</v>
      </c>
      <c r="N8" s="52">
        <v>45.0</v>
      </c>
      <c r="O8" s="53">
        <v>2.0</v>
      </c>
      <c r="P8" s="54"/>
      <c r="Q8" s="55">
        <f t="shared" si="12"/>
        <v>67.5</v>
      </c>
      <c r="R8" s="56">
        <f t="shared" si="13"/>
        <v>12.5</v>
      </c>
      <c r="S8" s="57" t="str">
        <f t="shared" si="14"/>
        <v>80</v>
      </c>
      <c r="T8" s="39">
        <v>80.0</v>
      </c>
      <c r="U8" s="40">
        <v>7.0</v>
      </c>
      <c r="V8" s="41">
        <v>6.0</v>
      </c>
      <c r="W8" s="42" t="str">
        <f t="shared" si="3"/>
        <v>80</v>
      </c>
      <c r="X8" s="60"/>
      <c r="Y8" s="44">
        <f t="shared" si="4"/>
        <v>80</v>
      </c>
      <c r="Z8" s="61"/>
      <c r="AA8" s="46" t="s">
        <v>42</v>
      </c>
      <c r="AB8" s="46" t="s">
        <v>43</v>
      </c>
      <c r="AC8" s="46" t="s">
        <v>6</v>
      </c>
      <c r="AD8" s="46" t="s">
        <v>40</v>
      </c>
      <c r="AE8" s="41"/>
    </row>
    <row r="9" ht="14.25" customHeight="1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  <c r="R9" s="65"/>
      <c r="S9" s="65"/>
      <c r="T9" s="39">
        <v>81.0</v>
      </c>
      <c r="U9" s="40">
        <v>8.0</v>
      </c>
      <c r="V9" s="41">
        <v>2.0</v>
      </c>
      <c r="W9" s="58" t="str">
        <f t="shared" si="3"/>
        <v>80</v>
      </c>
      <c r="X9" s="59">
        <v>1.0</v>
      </c>
      <c r="Y9" s="44">
        <f t="shared" si="4"/>
        <v>81</v>
      </c>
      <c r="Z9" s="45" t="s">
        <v>151</v>
      </c>
      <c r="AA9" s="46" t="s">
        <v>45</v>
      </c>
      <c r="AB9" s="46" t="s">
        <v>46</v>
      </c>
      <c r="AC9" s="46" t="s">
        <v>3</v>
      </c>
      <c r="AD9" s="47" t="s">
        <v>47</v>
      </c>
      <c r="AE9" s="41"/>
    </row>
    <row r="10" ht="14.25" customHeight="1">
      <c r="A10" s="67" t="s">
        <v>152</v>
      </c>
      <c r="B10" s="68" t="s">
        <v>153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5"/>
      <c r="P10" s="65"/>
      <c r="Q10" s="66"/>
      <c r="R10" s="65"/>
      <c r="S10" s="65"/>
      <c r="T10" s="39">
        <v>81.0</v>
      </c>
      <c r="U10" s="40">
        <v>9.0</v>
      </c>
      <c r="V10" s="41">
        <v>4.0</v>
      </c>
      <c r="W10" s="42" t="str">
        <f t="shared" si="3"/>
        <v>80</v>
      </c>
      <c r="X10" s="64">
        <v>1.0</v>
      </c>
      <c r="Y10" s="44">
        <f t="shared" si="4"/>
        <v>81</v>
      </c>
      <c r="Z10" s="45" t="s">
        <v>151</v>
      </c>
      <c r="AA10" s="46" t="s">
        <v>49</v>
      </c>
      <c r="AB10" s="46" t="s">
        <v>50</v>
      </c>
      <c r="AC10" s="46" t="s">
        <v>4</v>
      </c>
      <c r="AD10" s="47" t="s">
        <v>30</v>
      </c>
      <c r="AE10" s="41"/>
    </row>
    <row r="11" ht="14.25" customHeight="1">
      <c r="A11" s="70" t="s">
        <v>154</v>
      </c>
      <c r="L11" s="65"/>
      <c r="M11" s="65"/>
      <c r="N11" s="65"/>
      <c r="O11" s="65"/>
      <c r="P11" s="65"/>
      <c r="Q11" s="66"/>
      <c r="R11" s="65"/>
      <c r="S11" s="65"/>
      <c r="T11" s="39">
        <v>80.0</v>
      </c>
      <c r="U11" s="40">
        <v>10.0</v>
      </c>
      <c r="V11" s="41">
        <v>6.0</v>
      </c>
      <c r="W11" s="58" t="str">
        <f t="shared" si="3"/>
        <v>80</v>
      </c>
      <c r="X11" s="63"/>
      <c r="Y11" s="44">
        <f t="shared" si="4"/>
        <v>80</v>
      </c>
      <c r="Z11" s="61"/>
      <c r="AA11" s="46" t="s">
        <v>52</v>
      </c>
      <c r="AB11" s="46" t="s">
        <v>53</v>
      </c>
      <c r="AC11" s="46" t="s">
        <v>6</v>
      </c>
      <c r="AD11" s="47" t="s">
        <v>30</v>
      </c>
      <c r="AE11" s="41"/>
    </row>
    <row r="12" ht="14.25" customHeight="1">
      <c r="A12" s="71" t="s">
        <v>155</v>
      </c>
      <c r="B12" s="72" t="s">
        <v>156</v>
      </c>
      <c r="C12" s="73"/>
      <c r="D12" s="73"/>
      <c r="E12" s="73"/>
      <c r="F12" s="74"/>
      <c r="G12" s="72" t="s">
        <v>157</v>
      </c>
      <c r="H12" s="73"/>
      <c r="I12" s="73"/>
      <c r="J12" s="73"/>
      <c r="K12" s="74"/>
      <c r="L12" s="65"/>
      <c r="M12" s="65"/>
      <c r="N12" s="65"/>
      <c r="O12" s="75" t="s">
        <v>158</v>
      </c>
      <c r="P12" s="76"/>
      <c r="Q12" s="66"/>
      <c r="R12" s="65"/>
      <c r="S12" s="65"/>
      <c r="T12" s="39">
        <v>80.0</v>
      </c>
      <c r="U12" s="40">
        <v>11.0</v>
      </c>
      <c r="V12" s="41">
        <v>4.0</v>
      </c>
      <c r="W12" s="42" t="str">
        <f t="shared" si="3"/>
        <v>80</v>
      </c>
      <c r="X12" s="60"/>
      <c r="Y12" s="44">
        <f t="shared" si="4"/>
        <v>80</v>
      </c>
      <c r="Z12" s="61"/>
      <c r="AA12" s="46" t="s">
        <v>55</v>
      </c>
      <c r="AB12" s="46" t="s">
        <v>56</v>
      </c>
      <c r="AC12" s="46" t="s">
        <v>5</v>
      </c>
      <c r="AD12" s="47" t="s">
        <v>22</v>
      </c>
      <c r="AE12" s="41"/>
    </row>
    <row r="13" ht="14.25" customHeight="1">
      <c r="A13" s="77"/>
      <c r="B13" s="78" t="s">
        <v>159</v>
      </c>
      <c r="C13" s="78" t="s">
        <v>160</v>
      </c>
      <c r="D13" s="78" t="s">
        <v>161</v>
      </c>
      <c r="E13" s="78" t="s">
        <v>162</v>
      </c>
      <c r="F13" s="78" t="s">
        <v>163</v>
      </c>
      <c r="G13" s="78" t="s">
        <v>164</v>
      </c>
      <c r="H13" s="78" t="s">
        <v>165</v>
      </c>
      <c r="I13" s="78" t="s">
        <v>166</v>
      </c>
      <c r="J13" s="78" t="s">
        <v>167</v>
      </c>
      <c r="K13" s="79" t="s">
        <v>168</v>
      </c>
      <c r="L13" s="65"/>
      <c r="M13" s="65"/>
      <c r="N13" s="65"/>
      <c r="O13" s="80" t="s">
        <v>169</v>
      </c>
      <c r="P13" s="76" t="s">
        <v>170</v>
      </c>
      <c r="Q13" s="81" t="s">
        <v>171</v>
      </c>
      <c r="R13" s="76">
        <v>2.0</v>
      </c>
      <c r="S13" s="65"/>
      <c r="T13" s="39">
        <v>84.0</v>
      </c>
      <c r="U13" s="40">
        <v>12.0</v>
      </c>
      <c r="V13" s="41">
        <v>5.0</v>
      </c>
      <c r="W13" s="58" t="str">
        <f t="shared" si="3"/>
        <v>80</v>
      </c>
      <c r="X13" s="59">
        <v>4.0</v>
      </c>
      <c r="Y13" s="44">
        <f t="shared" si="4"/>
        <v>84</v>
      </c>
      <c r="Z13" s="45" t="s">
        <v>172</v>
      </c>
      <c r="AA13" s="46" t="s">
        <v>58</v>
      </c>
      <c r="AB13" s="46" t="s">
        <v>59</v>
      </c>
      <c r="AC13" s="46" t="s">
        <v>2</v>
      </c>
      <c r="AD13" s="47" t="s">
        <v>40</v>
      </c>
      <c r="AE13" s="41"/>
    </row>
    <row r="14" ht="14.25" customHeight="1">
      <c r="A14" s="38"/>
      <c r="B14" s="82" t="s">
        <v>19</v>
      </c>
      <c r="C14" s="83" t="s">
        <v>23</v>
      </c>
      <c r="D14" s="83" t="s">
        <v>27</v>
      </c>
      <c r="E14" s="83" t="s">
        <v>31</v>
      </c>
      <c r="F14" s="83" t="s">
        <v>34</v>
      </c>
      <c r="G14" s="82" t="s">
        <v>19</v>
      </c>
      <c r="H14" s="83" t="s">
        <v>23</v>
      </c>
      <c r="I14" s="83" t="s">
        <v>27</v>
      </c>
      <c r="J14" s="83" t="s">
        <v>31</v>
      </c>
      <c r="K14" s="83" t="s">
        <v>34</v>
      </c>
      <c r="L14" s="65"/>
      <c r="M14" s="65"/>
      <c r="N14" s="65"/>
      <c r="O14" s="65"/>
      <c r="P14" s="65"/>
      <c r="Q14" s="81" t="s">
        <v>173</v>
      </c>
      <c r="R14" s="65"/>
      <c r="S14" s="65"/>
      <c r="T14" s="39">
        <v>80.0</v>
      </c>
      <c r="U14" s="40">
        <v>13.0</v>
      </c>
      <c r="V14" s="41">
        <v>4.0</v>
      </c>
      <c r="W14" s="42" t="str">
        <f t="shared" si="3"/>
        <v>80</v>
      </c>
      <c r="X14" s="60"/>
      <c r="Y14" s="44">
        <f t="shared" si="4"/>
        <v>80</v>
      </c>
      <c r="Z14" s="61"/>
      <c r="AA14" s="46" t="s">
        <v>61</v>
      </c>
      <c r="AB14" s="46" t="s">
        <v>62</v>
      </c>
      <c r="AC14" s="46" t="s">
        <v>6</v>
      </c>
      <c r="AD14" s="46" t="s">
        <v>22</v>
      </c>
      <c r="AE14" s="41"/>
    </row>
    <row r="15" ht="14.25" customHeight="1">
      <c r="A15" s="84" t="s">
        <v>144</v>
      </c>
      <c r="B15" s="85">
        <v>65.0</v>
      </c>
      <c r="C15" s="85">
        <v>60.0</v>
      </c>
      <c r="D15" s="85">
        <v>51.0</v>
      </c>
      <c r="E15" s="85">
        <v>90.0</v>
      </c>
      <c r="F15" s="85">
        <v>83.0</v>
      </c>
      <c r="G15" s="85">
        <v>65.0</v>
      </c>
      <c r="H15" s="85">
        <v>75.0</v>
      </c>
      <c r="I15" s="85">
        <v>45.0</v>
      </c>
      <c r="J15" s="85">
        <v>70.0</v>
      </c>
      <c r="K15" s="85">
        <v>100.0</v>
      </c>
      <c r="L15" s="65"/>
      <c r="M15" s="65"/>
      <c r="N15" s="65"/>
      <c r="O15" s="65"/>
      <c r="P15" s="65"/>
      <c r="Q15" s="81" t="s">
        <v>174</v>
      </c>
      <c r="R15" s="65"/>
      <c r="S15" s="65"/>
      <c r="T15" s="39">
        <v>81.0</v>
      </c>
      <c r="U15" s="40">
        <v>14.0</v>
      </c>
      <c r="V15" s="41">
        <v>1.0</v>
      </c>
      <c r="W15" s="58" t="str">
        <f t="shared" si="3"/>
        <v>80</v>
      </c>
      <c r="X15" s="59">
        <v>1.0</v>
      </c>
      <c r="Y15" s="44">
        <f t="shared" si="4"/>
        <v>81</v>
      </c>
      <c r="Z15" s="45" t="s">
        <v>151</v>
      </c>
      <c r="AA15" s="46" t="s">
        <v>64</v>
      </c>
      <c r="AB15" s="46" t="s">
        <v>65</v>
      </c>
      <c r="AC15" s="46" t="s">
        <v>3</v>
      </c>
      <c r="AD15" s="47" t="s">
        <v>30</v>
      </c>
      <c r="AE15" s="41"/>
    </row>
    <row r="16" ht="14.25" customHeight="1">
      <c r="A16" s="84" t="s">
        <v>146</v>
      </c>
      <c r="B16" s="85">
        <v>85.0</v>
      </c>
      <c r="C16" s="85">
        <v>70.0</v>
      </c>
      <c r="D16" s="85">
        <v>73.0</v>
      </c>
      <c r="E16" s="85">
        <v>70.0</v>
      </c>
      <c r="F16" s="85">
        <v>88.0</v>
      </c>
      <c r="G16" s="85">
        <v>65.0</v>
      </c>
      <c r="H16" s="85">
        <v>80.0</v>
      </c>
      <c r="I16" s="85">
        <v>100.0</v>
      </c>
      <c r="J16" s="85">
        <v>75.0</v>
      </c>
      <c r="K16" s="85">
        <v>0.0</v>
      </c>
      <c r="L16" s="65"/>
      <c r="M16" s="65"/>
      <c r="N16" s="65"/>
      <c r="O16" s="86" t="s">
        <v>175</v>
      </c>
      <c r="P16" s="76" t="s">
        <v>176</v>
      </c>
      <c r="Q16" s="81" t="s">
        <v>177</v>
      </c>
      <c r="R16" s="76">
        <v>3.0</v>
      </c>
      <c r="S16" s="65"/>
      <c r="T16" s="39">
        <v>80.0</v>
      </c>
      <c r="U16" s="87">
        <v>15.0</v>
      </c>
      <c r="V16" s="41">
        <v>2.0</v>
      </c>
      <c r="W16" s="42" t="str">
        <f t="shared" si="3"/>
        <v>80</v>
      </c>
      <c r="X16" s="60"/>
      <c r="Y16" s="44">
        <f t="shared" si="4"/>
        <v>80</v>
      </c>
      <c r="Z16" s="61"/>
      <c r="AA16" s="46" t="s">
        <v>67</v>
      </c>
      <c r="AB16" s="46" t="s">
        <v>68</v>
      </c>
      <c r="AC16" s="46" t="s">
        <v>6</v>
      </c>
      <c r="AD16" s="47" t="s">
        <v>47</v>
      </c>
      <c r="AE16" s="41"/>
    </row>
    <row r="17" ht="14.25" customHeight="1">
      <c r="A17" s="84" t="s">
        <v>147</v>
      </c>
      <c r="B17" s="85">
        <v>88.0</v>
      </c>
      <c r="C17" s="85">
        <v>50.0</v>
      </c>
      <c r="D17" s="85">
        <v>70.0</v>
      </c>
      <c r="E17" s="85">
        <v>75.0</v>
      </c>
      <c r="F17" s="85">
        <v>85.0</v>
      </c>
      <c r="G17" s="85">
        <v>60.0</v>
      </c>
      <c r="H17" s="85">
        <v>70.0</v>
      </c>
      <c r="I17" s="85">
        <v>0.0</v>
      </c>
      <c r="J17" s="85">
        <v>80.0</v>
      </c>
      <c r="K17" s="85">
        <v>74.0</v>
      </c>
      <c r="L17" s="65"/>
      <c r="M17" s="65"/>
      <c r="N17" s="65"/>
      <c r="O17" s="65"/>
      <c r="P17" s="65"/>
      <c r="Q17" s="81" t="s">
        <v>178</v>
      </c>
      <c r="R17" s="65"/>
      <c r="S17" s="65"/>
      <c r="T17" s="39">
        <v>80.0</v>
      </c>
      <c r="U17" s="87">
        <v>16.0</v>
      </c>
      <c r="V17" s="41">
        <v>3.0</v>
      </c>
      <c r="W17" s="58" t="str">
        <f t="shared" si="3"/>
        <v>80</v>
      </c>
      <c r="X17" s="63"/>
      <c r="Y17" s="44">
        <f t="shared" si="4"/>
        <v>80</v>
      </c>
      <c r="Z17" s="61"/>
      <c r="AA17" s="46" t="s">
        <v>70</v>
      </c>
      <c r="AB17" s="46" t="s">
        <v>71</v>
      </c>
      <c r="AC17" s="46" t="s">
        <v>6</v>
      </c>
      <c r="AD17" s="47" t="s">
        <v>72</v>
      </c>
      <c r="AE17" s="41"/>
    </row>
    <row r="18" ht="14.25" customHeight="1">
      <c r="A18" s="84" t="s">
        <v>148</v>
      </c>
      <c r="B18" s="85">
        <v>95.0</v>
      </c>
      <c r="C18" s="85">
        <v>80.0</v>
      </c>
      <c r="D18" s="85">
        <v>60.0</v>
      </c>
      <c r="E18" s="85">
        <v>44.0</v>
      </c>
      <c r="F18" s="85">
        <v>91.0</v>
      </c>
      <c r="G18" s="85">
        <v>60.0</v>
      </c>
      <c r="H18" s="85">
        <v>100.0</v>
      </c>
      <c r="I18" s="85">
        <v>90.0</v>
      </c>
      <c r="J18" s="85">
        <v>25.0</v>
      </c>
      <c r="K18" s="85">
        <v>95.0</v>
      </c>
      <c r="L18" s="65"/>
      <c r="M18" s="65"/>
      <c r="N18" s="65"/>
      <c r="O18" s="65"/>
      <c r="P18" s="65"/>
      <c r="Q18" s="81" t="s">
        <v>179</v>
      </c>
      <c r="R18" s="65"/>
      <c r="S18" s="65"/>
      <c r="T18" s="39">
        <v>80.0</v>
      </c>
      <c r="U18" s="87">
        <v>17.0</v>
      </c>
      <c r="V18" s="41">
        <v>4.0</v>
      </c>
      <c r="W18" s="88" t="str">
        <f t="shared" si="3"/>
        <v>80</v>
      </c>
      <c r="X18" s="89"/>
      <c r="Y18" s="90">
        <f t="shared" si="4"/>
        <v>80</v>
      </c>
      <c r="Z18" s="89"/>
      <c r="AA18" s="46" t="s">
        <v>74</v>
      </c>
      <c r="AB18" s="46" t="s">
        <v>75</v>
      </c>
      <c r="AC18" s="46" t="s">
        <v>6</v>
      </c>
      <c r="AD18" s="47" t="s">
        <v>47</v>
      </c>
      <c r="AE18" s="41"/>
    </row>
    <row r="19" ht="14.25" customHeight="1">
      <c r="A19" s="84" t="s">
        <v>149</v>
      </c>
      <c r="B19" s="85">
        <v>75.0</v>
      </c>
      <c r="C19" s="85">
        <v>88.0</v>
      </c>
      <c r="D19" s="85">
        <v>90.0</v>
      </c>
      <c r="E19" s="85">
        <v>85.0</v>
      </c>
      <c r="F19" s="85">
        <v>85.0</v>
      </c>
      <c r="G19" s="85">
        <v>70.0</v>
      </c>
      <c r="H19" s="85">
        <v>100.0</v>
      </c>
      <c r="I19" s="85">
        <v>100.0</v>
      </c>
      <c r="J19" s="85">
        <v>85.0</v>
      </c>
      <c r="K19" s="85">
        <v>80.0</v>
      </c>
      <c r="L19" s="65"/>
      <c r="M19" s="65"/>
      <c r="N19" s="65"/>
      <c r="O19" s="65"/>
      <c r="P19" s="65"/>
      <c r="Q19" s="66"/>
      <c r="R19" s="65"/>
      <c r="S19" s="65"/>
      <c r="T19" s="39">
        <v>80.0</v>
      </c>
      <c r="U19" s="87">
        <v>18.0</v>
      </c>
      <c r="V19" s="41">
        <v>6.0</v>
      </c>
      <c r="W19" s="88" t="str">
        <f t="shared" si="3"/>
        <v>80</v>
      </c>
      <c r="X19" s="89"/>
      <c r="Y19" s="90">
        <f t="shared" si="4"/>
        <v>80</v>
      </c>
      <c r="Z19" s="89"/>
      <c r="AA19" s="46" t="s">
        <v>77</v>
      </c>
      <c r="AB19" s="46" t="s">
        <v>78</v>
      </c>
      <c r="AC19" s="46" t="s">
        <v>3</v>
      </c>
      <c r="AD19" s="47" t="s">
        <v>40</v>
      </c>
      <c r="AE19" s="41"/>
    </row>
    <row r="20" ht="14.25" customHeight="1">
      <c r="A20" s="84" t="s">
        <v>150</v>
      </c>
      <c r="B20" s="85">
        <v>75.0</v>
      </c>
      <c r="C20" s="85">
        <v>90.0</v>
      </c>
      <c r="D20" s="85">
        <v>90.0</v>
      </c>
      <c r="E20" s="85">
        <v>85.0</v>
      </c>
      <c r="F20" s="85">
        <v>78.0</v>
      </c>
      <c r="G20" s="85">
        <v>60.0</v>
      </c>
      <c r="H20" s="85">
        <v>95.0</v>
      </c>
      <c r="I20" s="85">
        <v>95.0</v>
      </c>
      <c r="J20" s="85">
        <v>40.0</v>
      </c>
      <c r="K20" s="85">
        <v>90.0</v>
      </c>
      <c r="L20" s="65"/>
      <c r="M20" s="65"/>
      <c r="N20" s="65"/>
      <c r="O20" s="91"/>
      <c r="P20" s="91"/>
      <c r="Q20" s="66"/>
      <c r="R20" s="65"/>
      <c r="S20" s="65"/>
      <c r="T20" s="39">
        <v>80.0</v>
      </c>
      <c r="U20" s="87">
        <v>19.0</v>
      </c>
      <c r="V20" s="41">
        <v>3.0</v>
      </c>
      <c r="W20" s="88" t="str">
        <f t="shared" si="3"/>
        <v>80</v>
      </c>
      <c r="X20" s="89"/>
      <c r="Y20" s="90">
        <f t="shared" si="4"/>
        <v>80</v>
      </c>
      <c r="Z20" s="89"/>
      <c r="AA20" s="46" t="s">
        <v>80</v>
      </c>
      <c r="AB20" s="46" t="s">
        <v>81</v>
      </c>
      <c r="AC20" s="46" t="s">
        <v>6</v>
      </c>
      <c r="AD20" s="47" t="s">
        <v>40</v>
      </c>
      <c r="AE20" s="41"/>
    </row>
    <row r="21" ht="14.25" customHeight="1">
      <c r="A21" s="92" t="s">
        <v>180</v>
      </c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5"/>
      <c r="R21" s="94"/>
      <c r="S21" s="94"/>
      <c r="T21" s="96">
        <v>80.0</v>
      </c>
      <c r="U21" s="40">
        <v>20.0</v>
      </c>
      <c r="V21" s="41">
        <v>6.0</v>
      </c>
      <c r="W21" s="88" t="str">
        <f t="shared" si="3"/>
        <v>80</v>
      </c>
      <c r="X21" s="89"/>
      <c r="Y21" s="90">
        <f t="shared" si="4"/>
        <v>80</v>
      </c>
      <c r="Z21" s="89"/>
      <c r="AA21" s="46" t="s">
        <v>83</v>
      </c>
      <c r="AB21" s="46" t="s">
        <v>84</v>
      </c>
      <c r="AC21" s="46" t="s">
        <v>6</v>
      </c>
      <c r="AD21" s="47" t="s">
        <v>30</v>
      </c>
      <c r="AE21" s="41"/>
    </row>
    <row r="22" ht="14.25" customHeight="1">
      <c r="A22" s="94"/>
      <c r="B22" s="97" t="s">
        <v>181</v>
      </c>
      <c r="C22" s="94"/>
      <c r="D22" s="98" t="s">
        <v>182</v>
      </c>
      <c r="E22" s="98" t="s">
        <v>183</v>
      </c>
      <c r="F22" s="99" t="s">
        <v>184</v>
      </c>
      <c r="G22" s="100" t="s">
        <v>185</v>
      </c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94"/>
      <c r="S22" s="94"/>
      <c r="T22" s="96">
        <v>80.0</v>
      </c>
      <c r="U22" s="40">
        <v>21.0</v>
      </c>
      <c r="V22" s="41">
        <v>4.0</v>
      </c>
      <c r="W22" s="88" t="str">
        <f t="shared" si="3"/>
        <v>80</v>
      </c>
      <c r="X22" s="89"/>
      <c r="Y22" s="90">
        <f t="shared" si="4"/>
        <v>80</v>
      </c>
      <c r="Z22" s="89"/>
      <c r="AA22" s="46" t="s">
        <v>86</v>
      </c>
      <c r="AB22" s="46" t="s">
        <v>87</v>
      </c>
      <c r="AC22" s="46" t="s">
        <v>6</v>
      </c>
      <c r="AD22" s="47" t="s">
        <v>72</v>
      </c>
      <c r="AE22" s="41"/>
    </row>
    <row r="23" ht="14.25" customHeight="1">
      <c r="A23" s="94"/>
      <c r="B23" s="101" t="s">
        <v>186</v>
      </c>
      <c r="C23" s="94"/>
      <c r="D23" s="102" t="s">
        <v>187</v>
      </c>
      <c r="E23" s="102" t="s">
        <v>187</v>
      </c>
      <c r="F23" s="103" t="s">
        <v>188</v>
      </c>
      <c r="G23" s="92" t="s">
        <v>189</v>
      </c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94"/>
      <c r="S23" s="94"/>
      <c r="T23" s="96">
        <v>80.0</v>
      </c>
      <c r="U23" s="40">
        <v>22.0</v>
      </c>
      <c r="V23" s="41">
        <v>1.0</v>
      </c>
      <c r="W23" s="88" t="str">
        <f t="shared" si="3"/>
        <v>80</v>
      </c>
      <c r="X23" s="89"/>
      <c r="Y23" s="90">
        <f t="shared" si="4"/>
        <v>80</v>
      </c>
      <c r="Z23" s="89"/>
      <c r="AA23" s="46" t="s">
        <v>89</v>
      </c>
      <c r="AB23" s="46" t="s">
        <v>90</v>
      </c>
      <c r="AC23" s="46" t="s">
        <v>6</v>
      </c>
      <c r="AD23" s="47" t="s">
        <v>47</v>
      </c>
      <c r="AE23" s="41"/>
    </row>
    <row r="24" ht="14.25" customHeight="1">
      <c r="A24" s="94"/>
      <c r="B24" s="102" t="s">
        <v>190</v>
      </c>
      <c r="C24" s="94"/>
      <c r="D24" s="102" t="s">
        <v>191</v>
      </c>
      <c r="E24" s="102" t="s">
        <v>191</v>
      </c>
      <c r="F24" s="103" t="s">
        <v>192</v>
      </c>
      <c r="G24" s="92" t="s">
        <v>193</v>
      </c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94"/>
      <c r="S24" s="94"/>
      <c r="T24" s="96">
        <v>80.0</v>
      </c>
      <c r="U24" s="40">
        <v>23.0</v>
      </c>
      <c r="V24" s="41">
        <v>2.0</v>
      </c>
      <c r="W24" s="88" t="str">
        <f t="shared" si="3"/>
        <v>80</v>
      </c>
      <c r="X24" s="89"/>
      <c r="Y24" s="90">
        <f t="shared" si="4"/>
        <v>80</v>
      </c>
      <c r="Z24" s="89"/>
      <c r="AA24" s="46" t="s">
        <v>92</v>
      </c>
      <c r="AB24" s="46" t="s">
        <v>93</v>
      </c>
      <c r="AC24" s="46" t="s">
        <v>6</v>
      </c>
      <c r="AD24" s="46" t="s">
        <v>94</v>
      </c>
      <c r="AE24" s="41"/>
    </row>
    <row r="25" ht="14.25" customHeight="1">
      <c r="A25" s="94"/>
      <c r="B25" s="102" t="s">
        <v>194</v>
      </c>
      <c r="C25" s="94"/>
      <c r="D25" s="102" t="s">
        <v>195</v>
      </c>
      <c r="E25" s="102" t="s">
        <v>195</v>
      </c>
      <c r="F25" s="103" t="s">
        <v>196</v>
      </c>
      <c r="G25" s="92" t="s">
        <v>197</v>
      </c>
      <c r="H25" s="94"/>
      <c r="I25" s="94"/>
      <c r="J25" s="94"/>
      <c r="K25" s="94"/>
      <c r="L25" s="94"/>
      <c r="M25" s="94"/>
      <c r="N25" s="94"/>
      <c r="O25" s="94"/>
      <c r="P25" s="94"/>
      <c r="Q25" s="95"/>
      <c r="R25" s="94"/>
      <c r="S25" s="94"/>
      <c r="T25" s="96">
        <v>80.0</v>
      </c>
      <c r="U25" s="40">
        <v>24.0</v>
      </c>
      <c r="V25" s="41">
        <v>1.0</v>
      </c>
      <c r="W25" s="88" t="str">
        <f t="shared" si="3"/>
        <v>80</v>
      </c>
      <c r="X25" s="89"/>
      <c r="Y25" s="90">
        <f t="shared" si="4"/>
        <v>80</v>
      </c>
      <c r="Z25" s="89"/>
      <c r="AA25" s="46" t="s">
        <v>96</v>
      </c>
      <c r="AB25" s="46" t="s">
        <v>97</v>
      </c>
      <c r="AC25" s="46" t="s">
        <v>6</v>
      </c>
      <c r="AD25" s="46" t="s">
        <v>98</v>
      </c>
      <c r="AE25" s="41"/>
    </row>
    <row r="26" ht="14.25" customHeight="1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5"/>
      <c r="R26" s="104"/>
      <c r="S26" s="104"/>
      <c r="T26" s="96">
        <v>80.0</v>
      </c>
      <c r="U26" s="40">
        <v>25.0</v>
      </c>
      <c r="V26" s="41">
        <v>5.0</v>
      </c>
      <c r="W26" s="58" t="str">
        <f t="shared" si="3"/>
        <v>80</v>
      </c>
      <c r="X26" s="61"/>
      <c r="Y26" s="44">
        <f t="shared" si="4"/>
        <v>80</v>
      </c>
      <c r="Z26" s="61"/>
      <c r="AA26" s="46" t="s">
        <v>100</v>
      </c>
      <c r="AB26" s="46" t="s">
        <v>101</v>
      </c>
      <c r="AC26" s="46" t="s">
        <v>2</v>
      </c>
      <c r="AD26" s="47" t="s">
        <v>40</v>
      </c>
      <c r="AE26" s="41"/>
    </row>
    <row r="27" ht="14.2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5"/>
      <c r="R27" s="104"/>
      <c r="S27" s="104"/>
      <c r="T27" s="96">
        <v>81.0</v>
      </c>
      <c r="U27" s="40">
        <v>26.0</v>
      </c>
      <c r="V27" s="41">
        <v>1.0</v>
      </c>
      <c r="W27" s="42" t="str">
        <f t="shared" si="3"/>
        <v>80</v>
      </c>
      <c r="X27" s="45">
        <v>1.0</v>
      </c>
      <c r="Y27" s="44">
        <f t="shared" si="4"/>
        <v>81</v>
      </c>
      <c r="Z27" s="45" t="s">
        <v>143</v>
      </c>
      <c r="AA27" s="46" t="s">
        <v>103</v>
      </c>
      <c r="AB27" s="46" t="s">
        <v>104</v>
      </c>
      <c r="AC27" s="46" t="s">
        <v>5</v>
      </c>
      <c r="AD27" s="47" t="s">
        <v>30</v>
      </c>
      <c r="AE27" s="41"/>
    </row>
    <row r="28" ht="14.2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5"/>
      <c r="R28" s="104"/>
      <c r="S28" s="104"/>
      <c r="T28" s="96">
        <v>80.0</v>
      </c>
      <c r="U28" s="40">
        <v>27.0</v>
      </c>
      <c r="V28" s="41">
        <v>6.0</v>
      </c>
      <c r="W28" s="58" t="str">
        <f t="shared" si="3"/>
        <v>80</v>
      </c>
      <c r="X28" s="61"/>
      <c r="Y28" s="44">
        <f t="shared" si="4"/>
        <v>80</v>
      </c>
      <c r="Z28" s="61"/>
      <c r="AA28" s="46" t="s">
        <v>106</v>
      </c>
      <c r="AB28" s="46" t="s">
        <v>107</v>
      </c>
      <c r="AC28" s="46" t="s">
        <v>5</v>
      </c>
      <c r="AD28" s="47" t="s">
        <v>30</v>
      </c>
      <c r="AE28" s="41"/>
    </row>
    <row r="29" ht="14.2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5"/>
      <c r="R29" s="104"/>
      <c r="S29" s="104"/>
      <c r="T29" s="96">
        <v>80.0</v>
      </c>
      <c r="U29" s="40">
        <v>28.0</v>
      </c>
      <c r="V29" s="41">
        <v>3.0</v>
      </c>
      <c r="W29" s="42" t="str">
        <f t="shared" si="3"/>
        <v>80</v>
      </c>
      <c r="X29" s="61"/>
      <c r="Y29" s="44">
        <f t="shared" si="4"/>
        <v>80</v>
      </c>
      <c r="Z29" s="61"/>
      <c r="AA29" s="46" t="s">
        <v>109</v>
      </c>
      <c r="AB29" s="46" t="s">
        <v>110</v>
      </c>
      <c r="AC29" s="46" t="s">
        <v>6</v>
      </c>
      <c r="AD29" s="46" t="s">
        <v>30</v>
      </c>
      <c r="AE29" s="41"/>
    </row>
    <row r="30" ht="14.2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5"/>
      <c r="R30" s="104"/>
      <c r="S30" s="104"/>
      <c r="T30" s="96">
        <v>80.0</v>
      </c>
      <c r="U30" s="40">
        <v>29.0</v>
      </c>
      <c r="V30" s="41">
        <v>3.0</v>
      </c>
      <c r="W30" s="58" t="str">
        <f t="shared" si="3"/>
        <v>80</v>
      </c>
      <c r="X30" s="61"/>
      <c r="Y30" s="44">
        <f t="shared" si="4"/>
        <v>80</v>
      </c>
      <c r="Z30" s="61"/>
      <c r="AA30" s="46" t="s">
        <v>112</v>
      </c>
      <c r="AB30" s="46" t="s">
        <v>113</v>
      </c>
      <c r="AC30" s="46" t="s">
        <v>6</v>
      </c>
      <c r="AD30" s="47" t="s">
        <v>40</v>
      </c>
      <c r="AE30" s="41"/>
    </row>
    <row r="31" ht="14.2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5"/>
      <c r="R31" s="104"/>
      <c r="S31" s="104"/>
      <c r="T31" s="96">
        <v>82.0</v>
      </c>
      <c r="U31" s="40">
        <v>30.0</v>
      </c>
      <c r="V31" s="41">
        <v>2.0</v>
      </c>
      <c r="W31" s="42" t="str">
        <f t="shared" si="3"/>
        <v>80</v>
      </c>
      <c r="X31" s="45">
        <v>2.0</v>
      </c>
      <c r="Y31" s="44">
        <f t="shared" si="4"/>
        <v>82</v>
      </c>
      <c r="Z31" s="45" t="s">
        <v>198</v>
      </c>
      <c r="AA31" s="46" t="s">
        <v>115</v>
      </c>
      <c r="AB31" s="46" t="s">
        <v>116</v>
      </c>
      <c r="AC31" s="46" t="s">
        <v>6</v>
      </c>
      <c r="AD31" s="46" t="s">
        <v>72</v>
      </c>
      <c r="AE31" s="41"/>
    </row>
    <row r="32" ht="14.2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5"/>
      <c r="R32" s="104"/>
      <c r="S32" s="104"/>
      <c r="T32" s="104"/>
      <c r="U32" s="104"/>
      <c r="V32" s="104"/>
      <c r="W32" s="104"/>
    </row>
    <row r="33" ht="14.2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5"/>
      <c r="R33" s="104"/>
      <c r="S33" s="104"/>
      <c r="T33" s="104"/>
      <c r="U33" s="104"/>
      <c r="V33" s="104"/>
      <c r="W33" s="104"/>
    </row>
    <row r="34" ht="14.2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5"/>
      <c r="R34" s="104"/>
      <c r="S34" s="104"/>
      <c r="T34" s="104"/>
      <c r="U34" s="104"/>
      <c r="V34" s="104"/>
      <c r="W34" s="104"/>
    </row>
    <row r="35" ht="14.25" customHeight="1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5"/>
      <c r="R35" s="104"/>
      <c r="S35" s="104"/>
      <c r="T35" s="104"/>
      <c r="U35" s="104"/>
      <c r="V35" s="104"/>
      <c r="W35" s="104"/>
    </row>
    <row r="36" ht="14.25" customHeight="1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5"/>
      <c r="R36" s="104"/>
      <c r="S36" s="104"/>
      <c r="T36" s="104"/>
      <c r="U36" s="104"/>
      <c r="V36" s="104"/>
      <c r="W36" s="104"/>
    </row>
    <row r="37" ht="14.2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5"/>
      <c r="R37" s="104"/>
      <c r="S37" s="104"/>
      <c r="T37" s="104"/>
      <c r="U37" s="104"/>
      <c r="V37" s="104"/>
      <c r="W37" s="104"/>
    </row>
    <row r="38" ht="14.2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5"/>
      <c r="R38" s="104"/>
      <c r="S38" s="104"/>
      <c r="T38" s="104"/>
      <c r="U38" s="104"/>
      <c r="V38" s="104"/>
      <c r="W38" s="104"/>
    </row>
    <row r="39" ht="14.25" customHeight="1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5"/>
      <c r="R39" s="104"/>
      <c r="S39" s="104"/>
      <c r="T39" s="104"/>
      <c r="U39" s="104"/>
      <c r="V39" s="104"/>
      <c r="W39" s="104"/>
    </row>
    <row r="40" ht="14.25" customHeight="1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5"/>
      <c r="R40" s="104"/>
      <c r="S40" s="104"/>
      <c r="T40" s="104"/>
      <c r="U40" s="104"/>
      <c r="V40" s="104"/>
      <c r="W40" s="104"/>
    </row>
    <row r="41" ht="14.25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5"/>
      <c r="R41" s="104"/>
      <c r="S41" s="104"/>
      <c r="T41" s="104"/>
      <c r="U41" s="104"/>
      <c r="V41" s="104"/>
      <c r="W41" s="104"/>
    </row>
    <row r="42" ht="14.25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5"/>
      <c r="R42" s="104"/>
      <c r="S42" s="104"/>
      <c r="T42" s="104"/>
      <c r="U42" s="104"/>
      <c r="V42" s="104"/>
      <c r="W42" s="104"/>
    </row>
    <row r="43" ht="14.2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5"/>
      <c r="R43" s="104"/>
      <c r="S43" s="104"/>
      <c r="T43" s="104"/>
      <c r="U43" s="104"/>
      <c r="V43" s="104"/>
      <c r="W43" s="104"/>
    </row>
    <row r="44" ht="14.25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5"/>
      <c r="R44" s="104"/>
      <c r="S44" s="104"/>
      <c r="T44" s="104"/>
      <c r="U44" s="104"/>
      <c r="V44" s="104"/>
      <c r="W44" s="104"/>
    </row>
    <row r="45" ht="14.25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5"/>
      <c r="R45" s="104"/>
      <c r="S45" s="104"/>
      <c r="T45" s="104"/>
      <c r="U45" s="104"/>
      <c r="V45" s="104"/>
      <c r="W45" s="104"/>
    </row>
    <row r="46" ht="14.2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5"/>
      <c r="R46" s="104"/>
      <c r="S46" s="104"/>
      <c r="T46" s="104"/>
      <c r="U46" s="104"/>
      <c r="V46" s="104"/>
      <c r="W46" s="104"/>
    </row>
    <row r="47" ht="14.25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5"/>
      <c r="R47" s="104"/>
      <c r="S47" s="104"/>
      <c r="T47" s="104"/>
      <c r="U47" s="104"/>
      <c r="V47" s="104"/>
      <c r="W47" s="104"/>
    </row>
    <row r="48" ht="14.25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5"/>
      <c r="R48" s="104"/>
      <c r="S48" s="104"/>
      <c r="T48" s="104"/>
      <c r="U48" s="104"/>
      <c r="V48" s="104"/>
      <c r="W48" s="104"/>
    </row>
    <row r="49" ht="14.25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5"/>
      <c r="R49" s="104"/>
      <c r="S49" s="104"/>
      <c r="T49" s="104"/>
      <c r="U49" s="104"/>
      <c r="V49" s="104"/>
      <c r="W49" s="104"/>
    </row>
    <row r="50" ht="14.25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5"/>
      <c r="R50" s="104"/>
      <c r="S50" s="104"/>
      <c r="T50" s="104"/>
      <c r="U50" s="104"/>
      <c r="V50" s="104"/>
      <c r="W50" s="104"/>
    </row>
    <row r="51" ht="14.25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5"/>
      <c r="R51" s="104"/>
      <c r="S51" s="104"/>
      <c r="T51" s="104"/>
      <c r="U51" s="104"/>
      <c r="V51" s="104"/>
      <c r="W51" s="104"/>
    </row>
    <row r="52" ht="14.25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  <c r="R52" s="104"/>
      <c r="S52" s="104"/>
      <c r="T52" s="104"/>
      <c r="U52" s="104"/>
      <c r="V52" s="104"/>
      <c r="W52" s="104"/>
    </row>
    <row r="53" ht="14.2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5"/>
      <c r="R53" s="104"/>
      <c r="S53" s="104"/>
      <c r="T53" s="104"/>
      <c r="U53" s="104"/>
      <c r="V53" s="104"/>
      <c r="W53" s="104"/>
    </row>
    <row r="54" ht="14.2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5"/>
      <c r="R54" s="104"/>
      <c r="S54" s="104"/>
      <c r="T54" s="104"/>
      <c r="U54" s="104"/>
      <c r="V54" s="104"/>
      <c r="W54" s="104"/>
    </row>
    <row r="55" ht="14.25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5"/>
      <c r="R55" s="104"/>
      <c r="S55" s="104"/>
      <c r="T55" s="104"/>
      <c r="U55" s="104"/>
      <c r="V55" s="104"/>
      <c r="W55" s="104"/>
    </row>
    <row r="56" ht="14.25" customHeight="1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5"/>
      <c r="R56" s="104"/>
      <c r="S56" s="104"/>
      <c r="T56" s="104"/>
      <c r="U56" s="104"/>
      <c r="V56" s="104"/>
      <c r="W56" s="104"/>
    </row>
    <row r="57" ht="14.25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5"/>
      <c r="R57" s="104"/>
      <c r="S57" s="104"/>
      <c r="T57" s="104"/>
      <c r="U57" s="104"/>
      <c r="V57" s="104"/>
      <c r="W57" s="104"/>
    </row>
    <row r="58" ht="14.25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5"/>
      <c r="R58" s="104"/>
      <c r="S58" s="104"/>
      <c r="T58" s="104"/>
      <c r="U58" s="104"/>
      <c r="V58" s="104"/>
      <c r="W58" s="104"/>
    </row>
    <row r="59" ht="14.2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5"/>
      <c r="R59" s="104"/>
      <c r="S59" s="104"/>
      <c r="T59" s="104"/>
      <c r="U59" s="104"/>
      <c r="V59" s="104"/>
      <c r="W59" s="104"/>
    </row>
    <row r="60" ht="14.25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5"/>
      <c r="R60" s="104"/>
      <c r="S60" s="104"/>
      <c r="T60" s="104"/>
      <c r="U60" s="104"/>
      <c r="V60" s="104"/>
      <c r="W60" s="104"/>
    </row>
    <row r="61" ht="14.25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5"/>
      <c r="R61" s="104"/>
      <c r="S61" s="104"/>
      <c r="T61" s="104"/>
      <c r="U61" s="104"/>
      <c r="V61" s="104"/>
      <c r="W61" s="104"/>
    </row>
    <row r="62" ht="14.2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5"/>
      <c r="R62" s="104"/>
      <c r="S62" s="104"/>
      <c r="T62" s="104"/>
      <c r="U62" s="104"/>
      <c r="V62" s="104"/>
      <c r="W62" s="104"/>
    </row>
    <row r="63" ht="14.2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5"/>
      <c r="R63" s="104"/>
      <c r="S63" s="104"/>
      <c r="T63" s="104"/>
      <c r="U63" s="104"/>
      <c r="V63" s="104"/>
      <c r="W63" s="104"/>
    </row>
    <row r="64" ht="14.25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5"/>
      <c r="R64" s="104"/>
      <c r="S64" s="104"/>
      <c r="T64" s="104"/>
      <c r="U64" s="104"/>
      <c r="V64" s="104"/>
      <c r="W64" s="104"/>
    </row>
    <row r="65" ht="14.25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5"/>
      <c r="R65" s="104"/>
      <c r="S65" s="104"/>
      <c r="T65" s="104"/>
      <c r="U65" s="104"/>
      <c r="V65" s="104"/>
      <c r="W65" s="104"/>
    </row>
    <row r="66" ht="14.2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5"/>
      <c r="R66" s="104"/>
      <c r="S66" s="104"/>
      <c r="T66" s="104"/>
      <c r="U66" s="104"/>
      <c r="V66" s="104"/>
      <c r="W66" s="104"/>
    </row>
    <row r="67" ht="14.2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5"/>
      <c r="R67" s="104"/>
      <c r="S67" s="104"/>
      <c r="T67" s="104"/>
      <c r="U67" s="104"/>
      <c r="V67" s="104"/>
      <c r="W67" s="104"/>
    </row>
    <row r="68" ht="14.2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5"/>
      <c r="R68" s="104"/>
      <c r="S68" s="104"/>
      <c r="T68" s="104"/>
      <c r="U68" s="104"/>
      <c r="V68" s="104"/>
      <c r="W68" s="104"/>
    </row>
    <row r="69" ht="14.2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5"/>
      <c r="R69" s="104"/>
      <c r="S69" s="104"/>
      <c r="T69" s="104"/>
      <c r="U69" s="104"/>
      <c r="V69" s="104"/>
      <c r="W69" s="104"/>
    </row>
    <row r="70" ht="14.2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5"/>
      <c r="R70" s="104"/>
      <c r="S70" s="104"/>
      <c r="T70" s="104"/>
      <c r="U70" s="104"/>
      <c r="V70" s="104"/>
      <c r="W70" s="104"/>
    </row>
    <row r="71" ht="14.25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5"/>
      <c r="R71" s="104"/>
      <c r="S71" s="104"/>
      <c r="T71" s="104"/>
      <c r="U71" s="104"/>
      <c r="V71" s="104"/>
      <c r="W71" s="104"/>
    </row>
    <row r="72" ht="14.25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5"/>
      <c r="R72" s="104"/>
      <c r="S72" s="104"/>
      <c r="T72" s="104"/>
      <c r="U72" s="104"/>
      <c r="V72" s="104"/>
      <c r="W72" s="104"/>
    </row>
    <row r="73" ht="14.2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5"/>
      <c r="R73" s="104"/>
      <c r="S73" s="104"/>
      <c r="T73" s="104"/>
      <c r="U73" s="104"/>
      <c r="V73" s="104"/>
      <c r="W73" s="104"/>
    </row>
    <row r="74" ht="14.2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5"/>
      <c r="R74" s="104"/>
      <c r="S74" s="104"/>
      <c r="T74" s="104"/>
      <c r="U74" s="104"/>
      <c r="V74" s="104"/>
      <c r="W74" s="104"/>
    </row>
    <row r="75" ht="14.2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5"/>
      <c r="R75" s="104"/>
      <c r="S75" s="104"/>
      <c r="T75" s="104"/>
      <c r="U75" s="104"/>
      <c r="V75" s="104"/>
      <c r="W75" s="104"/>
    </row>
    <row r="76" ht="14.2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5"/>
      <c r="R76" s="104"/>
      <c r="S76" s="104"/>
      <c r="T76" s="104"/>
      <c r="U76" s="104"/>
      <c r="V76" s="104"/>
      <c r="W76" s="104"/>
    </row>
    <row r="77" ht="14.2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5"/>
      <c r="R77" s="104"/>
      <c r="S77" s="104"/>
      <c r="T77" s="104"/>
      <c r="U77" s="104"/>
      <c r="V77" s="104"/>
      <c r="W77" s="104"/>
    </row>
    <row r="78" ht="14.2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5"/>
      <c r="R78" s="104"/>
      <c r="S78" s="104"/>
      <c r="T78" s="104"/>
      <c r="U78" s="104"/>
      <c r="V78" s="104"/>
      <c r="W78" s="104"/>
    </row>
    <row r="79" ht="14.2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5"/>
      <c r="R79" s="104"/>
      <c r="S79" s="104"/>
      <c r="T79" s="104"/>
      <c r="U79" s="104"/>
      <c r="V79" s="104"/>
      <c r="W79" s="104"/>
    </row>
    <row r="80" ht="14.2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5"/>
      <c r="R80" s="104"/>
      <c r="S80" s="104"/>
      <c r="T80" s="104"/>
      <c r="U80" s="104"/>
      <c r="V80" s="104"/>
      <c r="W80" s="104"/>
    </row>
    <row r="81" ht="14.2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5"/>
      <c r="R81" s="104"/>
      <c r="S81" s="104"/>
      <c r="T81" s="104"/>
      <c r="U81" s="104"/>
      <c r="V81" s="104"/>
      <c r="W81" s="104"/>
    </row>
    <row r="82" ht="14.2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5"/>
      <c r="R82" s="104"/>
      <c r="S82" s="104"/>
      <c r="T82" s="104"/>
      <c r="U82" s="104"/>
      <c r="V82" s="104"/>
      <c r="W82" s="104"/>
    </row>
    <row r="83" ht="14.2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5"/>
      <c r="R83" s="104"/>
      <c r="S83" s="104"/>
      <c r="T83" s="104"/>
      <c r="U83" s="104"/>
      <c r="V83" s="104"/>
      <c r="W83" s="104"/>
    </row>
    <row r="84" ht="14.2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5"/>
      <c r="R84" s="104"/>
      <c r="S84" s="104"/>
      <c r="T84" s="104"/>
      <c r="U84" s="104"/>
      <c r="V84" s="104"/>
      <c r="W84" s="104"/>
    </row>
    <row r="85" ht="14.2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5"/>
      <c r="R85" s="104"/>
      <c r="S85" s="104"/>
      <c r="T85" s="104"/>
      <c r="U85" s="104"/>
      <c r="V85" s="104"/>
      <c r="W85" s="104"/>
    </row>
    <row r="86" ht="14.2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5"/>
      <c r="R86" s="104"/>
      <c r="S86" s="104"/>
      <c r="T86" s="104"/>
      <c r="U86" s="104"/>
      <c r="V86" s="104"/>
      <c r="W86" s="104"/>
    </row>
    <row r="87" ht="14.2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5"/>
      <c r="R87" s="104"/>
      <c r="S87" s="104"/>
      <c r="T87" s="104"/>
      <c r="U87" s="104"/>
      <c r="V87" s="104"/>
      <c r="W87" s="104"/>
    </row>
    <row r="88" ht="14.2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5"/>
      <c r="R88" s="104"/>
      <c r="S88" s="104"/>
      <c r="T88" s="104"/>
      <c r="U88" s="104"/>
      <c r="V88" s="104"/>
      <c r="W88" s="104"/>
    </row>
    <row r="89" ht="14.2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5"/>
      <c r="R89" s="104"/>
      <c r="S89" s="104"/>
      <c r="T89" s="104"/>
      <c r="U89" s="104"/>
      <c r="V89" s="104"/>
      <c r="W89" s="104"/>
    </row>
    <row r="90" ht="14.2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5"/>
      <c r="R90" s="104"/>
      <c r="S90" s="104"/>
      <c r="T90" s="104"/>
      <c r="U90" s="104"/>
      <c r="V90" s="104"/>
      <c r="W90" s="104"/>
    </row>
    <row r="91" ht="14.2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5"/>
      <c r="R91" s="104"/>
      <c r="S91" s="104"/>
      <c r="T91" s="104"/>
      <c r="U91" s="104"/>
      <c r="V91" s="104"/>
      <c r="W91" s="104"/>
    </row>
    <row r="92" ht="14.2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5"/>
      <c r="R92" s="104"/>
      <c r="S92" s="104"/>
      <c r="T92" s="104"/>
      <c r="U92" s="104"/>
      <c r="V92" s="104"/>
      <c r="W92" s="104"/>
    </row>
    <row r="93" ht="14.25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5"/>
      <c r="R93" s="104"/>
      <c r="S93" s="104"/>
      <c r="T93" s="104"/>
      <c r="U93" s="104"/>
      <c r="V93" s="104"/>
      <c r="W93" s="104"/>
    </row>
    <row r="94" ht="14.2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5"/>
      <c r="R94" s="104"/>
      <c r="S94" s="104"/>
      <c r="T94" s="104"/>
      <c r="U94" s="104"/>
      <c r="V94" s="104"/>
      <c r="W94" s="104"/>
    </row>
    <row r="95" ht="14.2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5"/>
      <c r="R95" s="104"/>
      <c r="S95" s="104"/>
      <c r="T95" s="104"/>
      <c r="U95" s="104"/>
      <c r="V95" s="104"/>
      <c r="W95" s="104"/>
    </row>
    <row r="96" ht="14.2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5"/>
      <c r="R96" s="104"/>
      <c r="S96" s="104"/>
      <c r="T96" s="104"/>
      <c r="U96" s="104"/>
      <c r="V96" s="104"/>
      <c r="W96" s="104"/>
    </row>
    <row r="97" ht="14.2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5"/>
      <c r="R97" s="104"/>
      <c r="S97" s="104"/>
      <c r="T97" s="104"/>
      <c r="U97" s="104"/>
      <c r="V97" s="104"/>
      <c r="W97" s="104"/>
    </row>
    <row r="98" ht="14.2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5"/>
      <c r="R98" s="104"/>
      <c r="S98" s="104"/>
      <c r="T98" s="104"/>
      <c r="U98" s="104"/>
      <c r="V98" s="104"/>
      <c r="W98" s="104"/>
    </row>
    <row r="99" ht="14.2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5"/>
      <c r="R99" s="104"/>
      <c r="S99" s="104"/>
      <c r="T99" s="104"/>
      <c r="U99" s="104"/>
      <c r="V99" s="104"/>
      <c r="W99" s="104"/>
    </row>
    <row r="100" ht="14.2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5"/>
      <c r="R100" s="104"/>
      <c r="S100" s="104"/>
      <c r="T100" s="104"/>
      <c r="U100" s="104"/>
      <c r="V100" s="104"/>
      <c r="W100" s="104"/>
    </row>
    <row r="101" ht="14.2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5"/>
      <c r="R101" s="104"/>
      <c r="S101" s="104"/>
      <c r="T101" s="104"/>
      <c r="U101" s="104"/>
      <c r="V101" s="104"/>
      <c r="W101" s="104"/>
    </row>
    <row r="102" ht="14.2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5"/>
      <c r="R102" s="104"/>
      <c r="S102" s="104"/>
      <c r="T102" s="104"/>
      <c r="U102" s="104"/>
      <c r="V102" s="104"/>
      <c r="W102" s="104"/>
    </row>
    <row r="103" ht="14.2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5"/>
      <c r="R103" s="104"/>
      <c r="S103" s="104"/>
      <c r="T103" s="104"/>
      <c r="U103" s="104"/>
      <c r="V103" s="104"/>
      <c r="W103" s="104"/>
    </row>
    <row r="104" ht="14.2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5"/>
      <c r="R104" s="104"/>
      <c r="S104" s="104"/>
      <c r="T104" s="104"/>
      <c r="U104" s="104"/>
      <c r="V104" s="104"/>
      <c r="W104" s="104"/>
    </row>
    <row r="105" ht="14.2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5"/>
      <c r="R105" s="104"/>
      <c r="S105" s="104"/>
      <c r="T105" s="104"/>
      <c r="U105" s="104"/>
      <c r="V105" s="104"/>
      <c r="W105" s="104"/>
    </row>
    <row r="106" ht="14.2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5"/>
      <c r="R106" s="104"/>
      <c r="S106" s="104"/>
      <c r="T106" s="104"/>
      <c r="U106" s="104"/>
      <c r="V106" s="104"/>
      <c r="W106" s="104"/>
    </row>
    <row r="107" ht="14.2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5"/>
      <c r="R107" s="104"/>
      <c r="S107" s="104"/>
      <c r="T107" s="104"/>
      <c r="U107" s="104"/>
      <c r="V107" s="104"/>
      <c r="W107" s="104"/>
    </row>
    <row r="108" ht="14.2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5"/>
      <c r="R108" s="104"/>
      <c r="S108" s="104"/>
      <c r="T108" s="104"/>
      <c r="U108" s="104"/>
      <c r="V108" s="104"/>
      <c r="W108" s="104"/>
    </row>
    <row r="109" ht="14.2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5"/>
      <c r="R109" s="104"/>
      <c r="S109" s="104"/>
      <c r="T109" s="104"/>
      <c r="U109" s="104"/>
      <c r="V109" s="104"/>
      <c r="W109" s="104"/>
    </row>
    <row r="110" ht="14.2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5"/>
      <c r="R110" s="104"/>
      <c r="S110" s="104"/>
      <c r="T110" s="104"/>
      <c r="U110" s="104"/>
      <c r="V110" s="104"/>
      <c r="W110" s="104"/>
    </row>
    <row r="111" ht="14.2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5"/>
      <c r="R111" s="104"/>
      <c r="S111" s="104"/>
      <c r="T111" s="104"/>
      <c r="U111" s="104"/>
      <c r="V111" s="104"/>
      <c r="W111" s="104"/>
    </row>
    <row r="112" ht="14.2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5"/>
      <c r="R112" s="104"/>
      <c r="S112" s="104"/>
      <c r="T112" s="104"/>
      <c r="U112" s="104"/>
      <c r="V112" s="104"/>
      <c r="W112" s="104"/>
    </row>
    <row r="113" ht="14.2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5"/>
      <c r="R113" s="104"/>
      <c r="S113" s="104"/>
      <c r="T113" s="104"/>
      <c r="U113" s="104"/>
      <c r="V113" s="104"/>
      <c r="W113" s="104"/>
    </row>
    <row r="114" ht="14.2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5"/>
      <c r="R114" s="104"/>
      <c r="S114" s="104"/>
      <c r="T114" s="104"/>
      <c r="U114" s="104"/>
      <c r="V114" s="104"/>
      <c r="W114" s="104"/>
    </row>
    <row r="115" ht="14.2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5"/>
      <c r="R115" s="104"/>
      <c r="S115" s="104"/>
      <c r="T115" s="104"/>
      <c r="U115" s="104"/>
      <c r="V115" s="104"/>
      <c r="W115" s="104"/>
    </row>
    <row r="116" ht="14.2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5"/>
      <c r="R116" s="104"/>
      <c r="S116" s="104"/>
      <c r="T116" s="104"/>
      <c r="U116" s="104"/>
      <c r="V116" s="104"/>
      <c r="W116" s="104"/>
    </row>
    <row r="117" ht="14.2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5"/>
      <c r="R117" s="104"/>
      <c r="S117" s="104"/>
      <c r="T117" s="104"/>
      <c r="U117" s="104"/>
      <c r="V117" s="104"/>
      <c r="W117" s="104"/>
    </row>
    <row r="118" ht="14.2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5"/>
      <c r="R118" s="104"/>
      <c r="S118" s="104"/>
      <c r="T118" s="104"/>
      <c r="U118" s="104"/>
      <c r="V118" s="104"/>
      <c r="W118" s="104"/>
    </row>
    <row r="119" ht="14.2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5"/>
      <c r="R119" s="104"/>
      <c r="S119" s="104"/>
      <c r="T119" s="104"/>
      <c r="U119" s="104"/>
      <c r="V119" s="104"/>
      <c r="W119" s="104"/>
    </row>
    <row r="120" ht="14.2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5"/>
      <c r="R120" s="104"/>
      <c r="S120" s="104"/>
      <c r="T120" s="104"/>
      <c r="U120" s="104"/>
      <c r="V120" s="104"/>
      <c r="W120" s="104"/>
    </row>
    <row r="121" ht="14.2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5"/>
      <c r="R121" s="104"/>
      <c r="S121" s="104"/>
      <c r="T121" s="104"/>
      <c r="U121" s="104"/>
      <c r="V121" s="104"/>
      <c r="W121" s="104"/>
    </row>
    <row r="122" ht="14.2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5"/>
      <c r="R122" s="104"/>
      <c r="S122" s="104"/>
      <c r="T122" s="104"/>
      <c r="U122" s="104"/>
      <c r="V122" s="104"/>
      <c r="W122" s="104"/>
    </row>
    <row r="123" ht="14.2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5"/>
      <c r="R123" s="104"/>
      <c r="S123" s="104"/>
      <c r="T123" s="104"/>
      <c r="U123" s="104"/>
      <c r="V123" s="104"/>
      <c r="W123" s="104"/>
    </row>
    <row r="124" ht="14.2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5"/>
      <c r="R124" s="104"/>
      <c r="S124" s="104"/>
      <c r="T124" s="104"/>
      <c r="U124" s="104"/>
      <c r="V124" s="104"/>
      <c r="W124" s="104"/>
    </row>
    <row r="125" ht="14.2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5"/>
      <c r="R125" s="104"/>
      <c r="S125" s="104"/>
      <c r="T125" s="104"/>
      <c r="U125" s="104"/>
      <c r="V125" s="104"/>
      <c r="W125" s="104"/>
    </row>
    <row r="126" ht="14.2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5"/>
      <c r="R126" s="104"/>
      <c r="S126" s="104"/>
      <c r="T126" s="104"/>
      <c r="U126" s="104"/>
      <c r="V126" s="104"/>
      <c r="W126" s="104"/>
    </row>
    <row r="127" ht="14.25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5"/>
      <c r="R127" s="104"/>
      <c r="S127" s="104"/>
      <c r="T127" s="104"/>
      <c r="U127" s="104"/>
      <c r="V127" s="104"/>
      <c r="W127" s="104"/>
    </row>
    <row r="128" ht="14.2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5"/>
      <c r="R128" s="104"/>
      <c r="S128" s="104"/>
      <c r="T128" s="104"/>
      <c r="U128" s="104"/>
      <c r="V128" s="104"/>
      <c r="W128" s="104"/>
    </row>
    <row r="129" ht="14.2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5"/>
      <c r="R129" s="104"/>
      <c r="S129" s="104"/>
      <c r="T129" s="104"/>
      <c r="U129" s="104"/>
      <c r="V129" s="104"/>
      <c r="W129" s="104"/>
    </row>
    <row r="130" ht="14.2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5"/>
      <c r="R130" s="104"/>
      <c r="S130" s="104"/>
      <c r="T130" s="104"/>
      <c r="U130" s="104"/>
      <c r="V130" s="104"/>
      <c r="W130" s="104"/>
    </row>
    <row r="131" ht="14.2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5"/>
      <c r="R131" s="104"/>
      <c r="S131" s="104"/>
      <c r="T131" s="104"/>
      <c r="U131" s="104"/>
      <c r="V131" s="104"/>
      <c r="W131" s="104"/>
    </row>
    <row r="132" ht="14.2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5"/>
      <c r="R132" s="104"/>
      <c r="S132" s="104"/>
      <c r="T132" s="104"/>
      <c r="U132" s="104"/>
      <c r="V132" s="104"/>
      <c r="W132" s="104"/>
    </row>
    <row r="133" ht="14.2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5"/>
      <c r="R133" s="104"/>
      <c r="S133" s="104"/>
      <c r="T133" s="104"/>
      <c r="U133" s="104"/>
      <c r="V133" s="104"/>
      <c r="W133" s="104"/>
    </row>
    <row r="134" ht="14.2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5"/>
      <c r="R134" s="104"/>
      <c r="S134" s="104"/>
      <c r="T134" s="104"/>
      <c r="U134" s="104"/>
      <c r="V134" s="104"/>
      <c r="W134" s="104"/>
    </row>
    <row r="135" ht="14.2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5"/>
      <c r="R135" s="104"/>
      <c r="S135" s="104"/>
      <c r="T135" s="104"/>
      <c r="U135" s="104"/>
      <c r="V135" s="104"/>
      <c r="W135" s="104"/>
    </row>
    <row r="136" ht="14.2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5"/>
      <c r="R136" s="104"/>
      <c r="S136" s="104"/>
      <c r="T136" s="104"/>
      <c r="U136" s="104"/>
      <c r="V136" s="104"/>
      <c r="W136" s="104"/>
    </row>
    <row r="137" ht="14.2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5"/>
      <c r="R137" s="104"/>
      <c r="S137" s="104"/>
      <c r="T137" s="104"/>
      <c r="U137" s="104"/>
      <c r="V137" s="104"/>
      <c r="W137" s="104"/>
    </row>
    <row r="138" ht="14.2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5"/>
      <c r="R138" s="104"/>
      <c r="S138" s="104"/>
      <c r="T138" s="104"/>
      <c r="U138" s="104"/>
      <c r="V138" s="104"/>
      <c r="W138" s="104"/>
    </row>
    <row r="139" ht="14.2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5"/>
      <c r="R139" s="104"/>
      <c r="S139" s="104"/>
      <c r="T139" s="104"/>
      <c r="U139" s="104"/>
      <c r="V139" s="104"/>
      <c r="W139" s="104"/>
    </row>
    <row r="140" ht="14.2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5"/>
      <c r="R140" s="104"/>
      <c r="S140" s="104"/>
      <c r="T140" s="104"/>
      <c r="U140" s="104"/>
      <c r="V140" s="104"/>
      <c r="W140" s="104"/>
    </row>
    <row r="141" ht="14.2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5"/>
      <c r="R141" s="104"/>
      <c r="S141" s="104"/>
      <c r="T141" s="104"/>
      <c r="U141" s="104"/>
      <c r="V141" s="104"/>
      <c r="W141" s="104"/>
    </row>
    <row r="142" ht="14.2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5"/>
      <c r="R142" s="104"/>
      <c r="S142" s="104"/>
      <c r="T142" s="104"/>
      <c r="U142" s="104"/>
      <c r="V142" s="104"/>
      <c r="W142" s="104"/>
    </row>
    <row r="143" ht="14.2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5"/>
      <c r="R143" s="104"/>
      <c r="S143" s="104"/>
      <c r="T143" s="104"/>
      <c r="U143" s="104"/>
      <c r="V143" s="104"/>
      <c r="W143" s="104"/>
    </row>
    <row r="144" ht="14.2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5"/>
      <c r="R144" s="104"/>
      <c r="S144" s="104"/>
      <c r="T144" s="104"/>
      <c r="U144" s="104"/>
      <c r="V144" s="104"/>
      <c r="W144" s="104"/>
    </row>
    <row r="145" ht="14.2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5"/>
      <c r="R145" s="104"/>
      <c r="S145" s="104"/>
      <c r="T145" s="104"/>
      <c r="U145" s="104"/>
      <c r="V145" s="104"/>
      <c r="W145" s="104"/>
    </row>
    <row r="146" ht="14.2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5"/>
      <c r="R146" s="104"/>
      <c r="S146" s="104"/>
      <c r="T146" s="104"/>
      <c r="U146" s="104"/>
      <c r="V146" s="104"/>
      <c r="W146" s="104"/>
    </row>
    <row r="147" ht="14.2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5"/>
      <c r="R147" s="104"/>
      <c r="S147" s="104"/>
      <c r="T147" s="104"/>
      <c r="U147" s="104"/>
      <c r="V147" s="104"/>
      <c r="W147" s="104"/>
    </row>
    <row r="148" ht="14.2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5"/>
      <c r="R148" s="104"/>
      <c r="S148" s="104"/>
      <c r="T148" s="104"/>
      <c r="U148" s="104"/>
      <c r="V148" s="104"/>
      <c r="W148" s="104"/>
    </row>
    <row r="149" ht="14.2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5"/>
      <c r="R149" s="104"/>
      <c r="S149" s="104"/>
      <c r="T149" s="104"/>
      <c r="U149" s="104"/>
      <c r="V149" s="104"/>
      <c r="W149" s="104"/>
    </row>
    <row r="150" ht="14.2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5"/>
      <c r="R150" s="104"/>
      <c r="S150" s="104"/>
      <c r="T150" s="104"/>
      <c r="U150" s="104"/>
      <c r="V150" s="104"/>
      <c r="W150" s="104"/>
    </row>
    <row r="151" ht="14.2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5"/>
      <c r="R151" s="104"/>
      <c r="S151" s="104"/>
      <c r="T151" s="104"/>
      <c r="U151" s="104"/>
      <c r="V151" s="104"/>
      <c r="W151" s="104"/>
    </row>
    <row r="152" ht="14.2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5"/>
      <c r="R152" s="104"/>
      <c r="S152" s="104"/>
      <c r="T152" s="104"/>
      <c r="U152" s="104"/>
      <c r="V152" s="104"/>
      <c r="W152" s="104"/>
    </row>
    <row r="153" ht="14.2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5"/>
      <c r="R153" s="104"/>
      <c r="S153" s="104"/>
      <c r="T153" s="104"/>
      <c r="U153" s="104"/>
      <c r="V153" s="104"/>
      <c r="W153" s="104"/>
    </row>
    <row r="154" ht="14.2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5"/>
      <c r="R154" s="104"/>
      <c r="S154" s="104"/>
      <c r="T154" s="104"/>
      <c r="U154" s="104"/>
      <c r="V154" s="104"/>
      <c r="W154" s="104"/>
    </row>
    <row r="155" ht="14.2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5"/>
      <c r="R155" s="104"/>
      <c r="S155" s="104"/>
      <c r="T155" s="104"/>
      <c r="U155" s="104"/>
      <c r="V155" s="104"/>
      <c r="W155" s="104"/>
    </row>
    <row r="156" ht="14.2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5"/>
      <c r="R156" s="104"/>
      <c r="S156" s="104"/>
      <c r="T156" s="104"/>
      <c r="U156" s="104"/>
      <c r="V156" s="104"/>
      <c r="W156" s="104"/>
    </row>
    <row r="157" ht="14.2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5"/>
      <c r="R157" s="104"/>
      <c r="S157" s="104"/>
      <c r="T157" s="104"/>
      <c r="U157" s="104"/>
      <c r="V157" s="104"/>
      <c r="W157" s="104"/>
    </row>
    <row r="158" ht="14.2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5"/>
      <c r="R158" s="104"/>
      <c r="S158" s="104"/>
      <c r="T158" s="104"/>
      <c r="U158" s="104"/>
      <c r="V158" s="104"/>
      <c r="W158" s="104"/>
    </row>
    <row r="159" ht="14.2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5"/>
      <c r="R159" s="104"/>
      <c r="S159" s="104"/>
      <c r="T159" s="104"/>
      <c r="U159" s="104"/>
      <c r="V159" s="104"/>
      <c r="W159" s="104"/>
    </row>
    <row r="160" ht="14.2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5"/>
      <c r="R160" s="104"/>
      <c r="S160" s="104"/>
      <c r="T160" s="104"/>
      <c r="U160" s="104"/>
      <c r="V160" s="104"/>
      <c r="W160" s="104"/>
    </row>
    <row r="161" ht="14.2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5"/>
      <c r="R161" s="104"/>
      <c r="S161" s="104"/>
      <c r="T161" s="104"/>
      <c r="U161" s="104"/>
      <c r="V161" s="104"/>
      <c r="W161" s="104"/>
    </row>
    <row r="162" ht="14.2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5"/>
      <c r="R162" s="104"/>
      <c r="S162" s="104"/>
      <c r="T162" s="104"/>
      <c r="U162" s="104"/>
      <c r="V162" s="104"/>
      <c r="W162" s="104"/>
    </row>
    <row r="163" ht="14.2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5"/>
      <c r="R163" s="104"/>
      <c r="S163" s="104"/>
      <c r="T163" s="104"/>
      <c r="U163" s="104"/>
      <c r="V163" s="104"/>
      <c r="W163" s="104"/>
    </row>
    <row r="164" ht="14.2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5"/>
      <c r="R164" s="104"/>
      <c r="S164" s="104"/>
      <c r="T164" s="104"/>
      <c r="U164" s="104"/>
      <c r="V164" s="104"/>
      <c r="W164" s="104"/>
    </row>
    <row r="165" ht="14.2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5"/>
      <c r="R165" s="104"/>
      <c r="S165" s="104"/>
      <c r="T165" s="104"/>
      <c r="U165" s="104"/>
      <c r="V165" s="104"/>
      <c r="W165" s="104"/>
    </row>
    <row r="166" ht="14.2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5"/>
      <c r="R166" s="104"/>
      <c r="S166" s="104"/>
      <c r="T166" s="104"/>
      <c r="U166" s="104"/>
      <c r="V166" s="104"/>
      <c r="W166" s="104"/>
    </row>
    <row r="167" ht="14.2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5"/>
      <c r="R167" s="104"/>
      <c r="S167" s="104"/>
      <c r="T167" s="104"/>
      <c r="U167" s="104"/>
      <c r="V167" s="104"/>
      <c r="W167" s="104"/>
    </row>
    <row r="168" ht="14.2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5"/>
      <c r="R168" s="104"/>
      <c r="S168" s="104"/>
      <c r="T168" s="104"/>
      <c r="U168" s="104"/>
      <c r="V168" s="104"/>
      <c r="W168" s="104"/>
    </row>
    <row r="169" ht="14.2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5"/>
      <c r="R169" s="104"/>
      <c r="S169" s="104"/>
      <c r="T169" s="104"/>
      <c r="U169" s="104"/>
      <c r="V169" s="104"/>
      <c r="W169" s="104"/>
    </row>
    <row r="170" ht="14.2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5"/>
      <c r="R170" s="104"/>
      <c r="S170" s="104"/>
      <c r="T170" s="104"/>
      <c r="U170" s="104"/>
      <c r="V170" s="104"/>
      <c r="W170" s="104"/>
    </row>
    <row r="171" ht="14.2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5"/>
      <c r="R171" s="104"/>
      <c r="S171" s="104"/>
      <c r="T171" s="104"/>
      <c r="U171" s="104"/>
      <c r="V171" s="104"/>
      <c r="W171" s="104"/>
    </row>
    <row r="172" ht="14.2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5"/>
      <c r="R172" s="104"/>
      <c r="S172" s="104"/>
      <c r="T172" s="104"/>
      <c r="U172" s="104"/>
      <c r="V172" s="104"/>
      <c r="W172" s="104"/>
    </row>
    <row r="173" ht="14.2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5"/>
      <c r="R173" s="104"/>
      <c r="S173" s="104"/>
      <c r="T173" s="104"/>
      <c r="U173" s="104"/>
      <c r="V173" s="104"/>
      <c r="W173" s="104"/>
    </row>
    <row r="174" ht="14.2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5"/>
      <c r="R174" s="104"/>
      <c r="S174" s="104"/>
      <c r="T174" s="104"/>
      <c r="U174" s="104"/>
      <c r="V174" s="104"/>
      <c r="W174" s="104"/>
    </row>
    <row r="175" ht="14.2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5"/>
      <c r="R175" s="104"/>
      <c r="S175" s="104"/>
      <c r="T175" s="104"/>
      <c r="U175" s="104"/>
      <c r="V175" s="104"/>
      <c r="W175" s="104"/>
    </row>
    <row r="176" ht="14.2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5"/>
      <c r="R176" s="104"/>
      <c r="S176" s="104"/>
      <c r="T176" s="104"/>
      <c r="U176" s="104"/>
      <c r="V176" s="104"/>
      <c r="W176" s="104"/>
    </row>
    <row r="177" ht="14.2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5"/>
      <c r="R177" s="104"/>
      <c r="S177" s="104"/>
      <c r="T177" s="104"/>
      <c r="U177" s="104"/>
      <c r="V177" s="104"/>
      <c r="W177" s="104"/>
    </row>
    <row r="178" ht="14.2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5"/>
      <c r="R178" s="104"/>
      <c r="S178" s="104"/>
      <c r="T178" s="104"/>
      <c r="U178" s="104"/>
      <c r="V178" s="104"/>
      <c r="W178" s="104"/>
    </row>
    <row r="179" ht="14.2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5"/>
      <c r="R179" s="104"/>
      <c r="S179" s="104"/>
      <c r="T179" s="104"/>
      <c r="U179" s="104"/>
      <c r="V179" s="104"/>
      <c r="W179" s="104"/>
    </row>
    <row r="180" ht="14.2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5"/>
      <c r="R180" s="104"/>
      <c r="S180" s="104"/>
      <c r="T180" s="104"/>
      <c r="U180" s="104"/>
      <c r="V180" s="104"/>
      <c r="W180" s="104"/>
    </row>
    <row r="181" ht="14.2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5"/>
      <c r="R181" s="104"/>
      <c r="S181" s="104"/>
      <c r="T181" s="104"/>
      <c r="U181" s="104"/>
      <c r="V181" s="104"/>
      <c r="W181" s="104"/>
    </row>
    <row r="182" ht="14.2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5"/>
      <c r="R182" s="104"/>
      <c r="S182" s="104"/>
      <c r="T182" s="104"/>
      <c r="U182" s="104"/>
      <c r="V182" s="104"/>
      <c r="W182" s="104"/>
    </row>
    <row r="183" ht="14.2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5"/>
      <c r="R183" s="104"/>
      <c r="S183" s="104"/>
      <c r="T183" s="104"/>
      <c r="U183" s="104"/>
      <c r="V183" s="104"/>
      <c r="W183" s="104"/>
    </row>
    <row r="184" ht="14.2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5"/>
      <c r="R184" s="104"/>
      <c r="S184" s="104"/>
      <c r="T184" s="104"/>
      <c r="U184" s="104"/>
      <c r="V184" s="104"/>
      <c r="W184" s="104"/>
    </row>
    <row r="185" ht="14.2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5"/>
      <c r="R185" s="104"/>
      <c r="S185" s="104"/>
      <c r="T185" s="104"/>
      <c r="U185" s="104"/>
      <c r="V185" s="104"/>
      <c r="W185" s="104"/>
    </row>
    <row r="186" ht="14.2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5"/>
      <c r="R186" s="104"/>
      <c r="S186" s="104"/>
      <c r="T186" s="104"/>
      <c r="U186" s="104"/>
      <c r="V186" s="104"/>
      <c r="W186" s="104"/>
    </row>
    <row r="187" ht="14.2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5"/>
      <c r="R187" s="104"/>
      <c r="S187" s="104"/>
      <c r="T187" s="104"/>
      <c r="U187" s="104"/>
      <c r="V187" s="104"/>
      <c r="W187" s="104"/>
    </row>
    <row r="188" ht="14.2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5"/>
      <c r="R188" s="104"/>
      <c r="S188" s="104"/>
      <c r="T188" s="104"/>
      <c r="U188" s="104"/>
      <c r="V188" s="104"/>
      <c r="W188" s="104"/>
    </row>
    <row r="189" ht="14.2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5"/>
      <c r="R189" s="104"/>
      <c r="S189" s="104"/>
      <c r="T189" s="104"/>
      <c r="U189" s="104"/>
      <c r="V189" s="104"/>
      <c r="W189" s="104"/>
    </row>
    <row r="190" ht="14.2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5"/>
      <c r="R190" s="104"/>
      <c r="S190" s="104"/>
      <c r="T190" s="104"/>
      <c r="U190" s="104"/>
      <c r="V190" s="104"/>
      <c r="W190" s="104"/>
    </row>
    <row r="191" ht="14.2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5"/>
      <c r="R191" s="104"/>
      <c r="S191" s="104"/>
      <c r="T191" s="104"/>
      <c r="U191" s="104"/>
      <c r="V191" s="104"/>
      <c r="W191" s="104"/>
    </row>
    <row r="192" ht="14.2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5"/>
      <c r="R192" s="104"/>
      <c r="S192" s="104"/>
      <c r="T192" s="104"/>
      <c r="U192" s="104"/>
      <c r="V192" s="104"/>
      <c r="W192" s="104"/>
    </row>
    <row r="193" ht="14.2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5"/>
      <c r="R193" s="104"/>
      <c r="S193" s="104"/>
      <c r="T193" s="104"/>
      <c r="U193" s="104"/>
      <c r="V193" s="104"/>
      <c r="W193" s="104"/>
    </row>
    <row r="194" ht="14.2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5"/>
      <c r="R194" s="104"/>
      <c r="S194" s="104"/>
      <c r="T194" s="104"/>
      <c r="U194" s="104"/>
      <c r="V194" s="104"/>
      <c r="W194" s="104"/>
    </row>
    <row r="195" ht="14.2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5"/>
      <c r="R195" s="104"/>
      <c r="S195" s="104"/>
      <c r="T195" s="104"/>
      <c r="U195" s="104"/>
      <c r="V195" s="104"/>
      <c r="W195" s="104"/>
    </row>
    <row r="196" ht="14.2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5"/>
      <c r="R196" s="104"/>
      <c r="S196" s="104"/>
      <c r="T196" s="104"/>
      <c r="U196" s="104"/>
      <c r="V196" s="104"/>
      <c r="W196" s="104"/>
    </row>
    <row r="197" ht="14.2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5"/>
      <c r="R197" s="104"/>
      <c r="S197" s="104"/>
      <c r="T197" s="104"/>
      <c r="U197" s="104"/>
      <c r="V197" s="104"/>
      <c r="W197" s="104"/>
    </row>
    <row r="198" ht="14.2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5"/>
      <c r="R198" s="104"/>
      <c r="S198" s="104"/>
      <c r="T198" s="104"/>
      <c r="U198" s="104"/>
      <c r="V198" s="104"/>
      <c r="W198" s="104"/>
    </row>
    <row r="199" ht="14.2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5"/>
      <c r="R199" s="104"/>
      <c r="S199" s="104"/>
      <c r="T199" s="104"/>
      <c r="U199" s="104"/>
      <c r="V199" s="104"/>
      <c r="W199" s="104"/>
    </row>
    <row r="200" ht="14.2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5"/>
      <c r="R200" s="104"/>
      <c r="S200" s="104"/>
      <c r="T200" s="104"/>
      <c r="U200" s="104"/>
      <c r="V200" s="104"/>
      <c r="W200" s="104"/>
    </row>
    <row r="201" ht="14.2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5"/>
      <c r="R201" s="104"/>
      <c r="S201" s="104"/>
      <c r="T201" s="104"/>
      <c r="U201" s="104"/>
      <c r="V201" s="104"/>
      <c r="W201" s="104"/>
    </row>
    <row r="202" ht="14.2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5"/>
      <c r="R202" s="104"/>
      <c r="S202" s="104"/>
      <c r="T202" s="104"/>
      <c r="U202" s="104"/>
      <c r="V202" s="104"/>
      <c r="W202" s="104"/>
    </row>
    <row r="203" ht="14.2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5"/>
      <c r="R203" s="104"/>
      <c r="S203" s="104"/>
      <c r="T203" s="104"/>
      <c r="U203" s="104"/>
      <c r="V203" s="104"/>
      <c r="W203" s="104"/>
    </row>
    <row r="204" ht="14.2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5"/>
      <c r="R204" s="104"/>
      <c r="S204" s="104"/>
      <c r="T204" s="104"/>
      <c r="U204" s="104"/>
      <c r="V204" s="104"/>
      <c r="W204" s="104"/>
    </row>
    <row r="205" ht="14.2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5"/>
      <c r="R205" s="104"/>
      <c r="S205" s="104"/>
      <c r="T205" s="104"/>
      <c r="U205" s="104"/>
      <c r="V205" s="104"/>
      <c r="W205" s="104"/>
    </row>
    <row r="206" ht="14.2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5"/>
      <c r="R206" s="104"/>
      <c r="S206" s="104"/>
      <c r="T206" s="104"/>
      <c r="U206" s="104"/>
      <c r="V206" s="104"/>
      <c r="W206" s="104"/>
    </row>
    <row r="207" ht="14.2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5"/>
      <c r="R207" s="104"/>
      <c r="S207" s="104"/>
      <c r="T207" s="104"/>
      <c r="U207" s="104"/>
      <c r="V207" s="104"/>
      <c r="W207" s="104"/>
    </row>
    <row r="208" ht="14.2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5"/>
      <c r="R208" s="104"/>
      <c r="S208" s="104"/>
      <c r="T208" s="104"/>
      <c r="U208" s="104"/>
      <c r="V208" s="104"/>
      <c r="W208" s="104"/>
    </row>
    <row r="209" ht="14.2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5"/>
      <c r="R209" s="104"/>
      <c r="S209" s="104"/>
      <c r="T209" s="104"/>
      <c r="U209" s="104"/>
      <c r="V209" s="104"/>
      <c r="W209" s="104"/>
    </row>
    <row r="210" ht="14.2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5"/>
      <c r="R210" s="104"/>
      <c r="S210" s="104"/>
      <c r="T210" s="104"/>
      <c r="U210" s="104"/>
      <c r="V210" s="104"/>
      <c r="W210" s="104"/>
    </row>
    <row r="211" ht="14.2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5"/>
      <c r="R211" s="104"/>
      <c r="S211" s="104"/>
      <c r="T211" s="104"/>
      <c r="U211" s="104"/>
      <c r="V211" s="104"/>
      <c r="W211" s="104"/>
    </row>
    <row r="212" ht="14.2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5"/>
      <c r="R212" s="104"/>
      <c r="S212" s="104"/>
      <c r="T212" s="104"/>
      <c r="U212" s="104"/>
      <c r="V212" s="104"/>
      <c r="W212" s="104"/>
    </row>
    <row r="213" ht="14.2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5"/>
      <c r="R213" s="104"/>
      <c r="S213" s="104"/>
      <c r="T213" s="104"/>
      <c r="U213" s="104"/>
      <c r="V213" s="104"/>
      <c r="W213" s="104"/>
    </row>
    <row r="214" ht="14.2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5"/>
      <c r="R214" s="104"/>
      <c r="S214" s="104"/>
      <c r="T214" s="104"/>
      <c r="U214" s="104"/>
      <c r="V214" s="104"/>
      <c r="W214" s="104"/>
    </row>
    <row r="215" ht="14.2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5"/>
      <c r="R215" s="104"/>
      <c r="S215" s="104"/>
      <c r="T215" s="104"/>
      <c r="U215" s="104"/>
      <c r="V215" s="104"/>
      <c r="W215" s="104"/>
    </row>
    <row r="216" ht="14.2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5"/>
      <c r="R216" s="104"/>
      <c r="S216" s="104"/>
      <c r="T216" s="104"/>
      <c r="U216" s="104"/>
      <c r="V216" s="104"/>
      <c r="W216" s="104"/>
    </row>
    <row r="217" ht="14.2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5"/>
      <c r="R217" s="104"/>
      <c r="S217" s="104"/>
      <c r="T217" s="104"/>
      <c r="U217" s="104"/>
      <c r="V217" s="104"/>
      <c r="W217" s="104"/>
    </row>
    <row r="218" ht="14.2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5"/>
      <c r="R218" s="104"/>
      <c r="S218" s="104"/>
      <c r="T218" s="104"/>
      <c r="U218" s="104"/>
      <c r="V218" s="104"/>
      <c r="W218" s="104"/>
    </row>
    <row r="219" ht="14.2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5"/>
      <c r="R219" s="104"/>
      <c r="S219" s="104"/>
      <c r="T219" s="104"/>
      <c r="U219" s="104"/>
      <c r="V219" s="104"/>
      <c r="W219" s="104"/>
    </row>
    <row r="220" ht="14.2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5"/>
      <c r="R220" s="104"/>
      <c r="S220" s="104"/>
      <c r="T220" s="104"/>
      <c r="U220" s="104"/>
      <c r="V220" s="104"/>
      <c r="W220" s="104"/>
    </row>
    <row r="221" ht="14.2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5"/>
      <c r="R221" s="104"/>
      <c r="S221" s="104"/>
      <c r="T221" s="104"/>
      <c r="U221" s="104"/>
      <c r="V221" s="104"/>
      <c r="W221" s="104"/>
    </row>
    <row r="222" ht="15.75" customHeight="1">
      <c r="Q222" s="106"/>
    </row>
    <row r="223" ht="15.75" customHeight="1">
      <c r="Q223" s="106"/>
    </row>
    <row r="224" ht="15.75" customHeight="1">
      <c r="Q224" s="106"/>
    </row>
    <row r="225" ht="15.75" customHeight="1">
      <c r="Q225" s="106"/>
    </row>
    <row r="226" ht="15.75" customHeight="1">
      <c r="Q226" s="106"/>
    </row>
    <row r="227" ht="15.75" customHeight="1">
      <c r="Q227" s="106"/>
    </row>
    <row r="228" ht="15.75" customHeight="1">
      <c r="Q228" s="106"/>
    </row>
    <row r="229" ht="15.75" customHeight="1">
      <c r="Q229" s="106"/>
    </row>
    <row r="230" ht="15.75" customHeight="1">
      <c r="Q230" s="106"/>
    </row>
    <row r="231" ht="15.75" customHeight="1">
      <c r="Q231" s="106"/>
    </row>
    <row r="232" ht="15.75" customHeight="1">
      <c r="Q232" s="106"/>
    </row>
    <row r="233" ht="15.75" customHeight="1">
      <c r="Q233" s="106"/>
    </row>
    <row r="234" ht="15.75" customHeight="1">
      <c r="Q234" s="106"/>
    </row>
    <row r="235" ht="15.75" customHeight="1">
      <c r="Q235" s="106"/>
    </row>
    <row r="236" ht="15.75" customHeight="1">
      <c r="Q236" s="106"/>
    </row>
    <row r="237" ht="15.75" customHeight="1">
      <c r="Q237" s="106"/>
    </row>
    <row r="238" ht="15.75" customHeight="1">
      <c r="Q238" s="106"/>
    </row>
    <row r="239" ht="15.75" customHeight="1">
      <c r="Q239" s="106"/>
    </row>
    <row r="240" ht="15.75" customHeight="1">
      <c r="Q240" s="106"/>
    </row>
    <row r="241" ht="15.75" customHeight="1">
      <c r="Q241" s="106"/>
    </row>
    <row r="242" ht="15.75" customHeight="1">
      <c r="Q242" s="106"/>
    </row>
    <row r="243" ht="15.75" customHeight="1">
      <c r="Q243" s="106"/>
    </row>
    <row r="244" ht="15.75" customHeight="1">
      <c r="Q244" s="106"/>
    </row>
    <row r="245" ht="15.75" customHeight="1">
      <c r="Q245" s="106"/>
    </row>
    <row r="246" ht="15.75" customHeight="1">
      <c r="Q246" s="106"/>
    </row>
    <row r="247" ht="15.75" customHeight="1">
      <c r="Q247" s="106"/>
    </row>
    <row r="248" ht="15.75" customHeight="1">
      <c r="Q248" s="106"/>
    </row>
    <row r="249" ht="15.75" customHeight="1">
      <c r="Q249" s="106"/>
    </row>
    <row r="250" ht="15.75" customHeight="1">
      <c r="Q250" s="106"/>
    </row>
    <row r="251" ht="15.75" customHeight="1">
      <c r="Q251" s="106"/>
    </row>
    <row r="252" ht="15.75" customHeight="1">
      <c r="Q252" s="106"/>
    </row>
    <row r="253" ht="15.75" customHeight="1">
      <c r="Q253" s="106"/>
    </row>
    <row r="254" ht="15.75" customHeight="1">
      <c r="Q254" s="106"/>
    </row>
    <row r="255" ht="15.75" customHeight="1">
      <c r="Q255" s="106"/>
    </row>
    <row r="256" ht="15.75" customHeight="1">
      <c r="Q256" s="106"/>
    </row>
    <row r="257" ht="15.75" customHeight="1">
      <c r="Q257" s="106"/>
    </row>
    <row r="258" ht="15.75" customHeight="1">
      <c r="Q258" s="106"/>
    </row>
    <row r="259" ht="15.75" customHeight="1">
      <c r="Q259" s="106"/>
    </row>
    <row r="260" ht="15.75" customHeight="1">
      <c r="Q260" s="106"/>
    </row>
    <row r="261" ht="15.75" customHeight="1">
      <c r="Q261" s="106"/>
    </row>
    <row r="262" ht="15.75" customHeight="1">
      <c r="Q262" s="106"/>
    </row>
    <row r="263" ht="15.75" customHeight="1">
      <c r="Q263" s="106"/>
    </row>
    <row r="264" ht="15.75" customHeight="1">
      <c r="Q264" s="106"/>
    </row>
    <row r="265" ht="15.75" customHeight="1">
      <c r="Q265" s="106"/>
    </row>
    <row r="266" ht="15.75" customHeight="1">
      <c r="Q266" s="106"/>
    </row>
    <row r="267" ht="15.75" customHeight="1">
      <c r="Q267" s="106"/>
    </row>
    <row r="268" ht="15.75" customHeight="1">
      <c r="Q268" s="106"/>
    </row>
    <row r="269" ht="15.75" customHeight="1">
      <c r="Q269" s="106"/>
    </row>
    <row r="270" ht="15.75" customHeight="1">
      <c r="Q270" s="106"/>
    </row>
    <row r="271" ht="15.75" customHeight="1">
      <c r="Q271" s="106"/>
    </row>
    <row r="272" ht="15.75" customHeight="1">
      <c r="Q272" s="106"/>
    </row>
    <row r="273" ht="15.75" customHeight="1">
      <c r="Q273" s="106"/>
    </row>
    <row r="274" ht="15.75" customHeight="1">
      <c r="Q274" s="106"/>
    </row>
    <row r="275" ht="15.75" customHeight="1">
      <c r="Q275" s="106"/>
    </row>
    <row r="276" ht="15.75" customHeight="1">
      <c r="Q276" s="106"/>
    </row>
    <row r="277" ht="15.75" customHeight="1">
      <c r="Q277" s="106"/>
    </row>
    <row r="278" ht="15.75" customHeight="1">
      <c r="Q278" s="106"/>
    </row>
    <row r="279" ht="15.75" customHeight="1">
      <c r="Q279" s="106"/>
    </row>
    <row r="280" ht="15.75" customHeight="1">
      <c r="Q280" s="106"/>
    </row>
    <row r="281" ht="15.75" customHeight="1">
      <c r="Q281" s="106"/>
    </row>
    <row r="282" ht="15.75" customHeight="1">
      <c r="Q282" s="106"/>
    </row>
    <row r="283" ht="15.75" customHeight="1">
      <c r="Q283" s="106"/>
    </row>
    <row r="284" ht="15.75" customHeight="1">
      <c r="Q284" s="106"/>
    </row>
    <row r="285" ht="15.75" customHeight="1">
      <c r="Q285" s="106"/>
    </row>
    <row r="286" ht="15.75" customHeight="1">
      <c r="Q286" s="106"/>
    </row>
    <row r="287" ht="15.75" customHeight="1">
      <c r="Q287" s="106"/>
    </row>
    <row r="288" ht="15.75" customHeight="1">
      <c r="Q288" s="106"/>
    </row>
    <row r="289" ht="15.75" customHeight="1">
      <c r="Q289" s="106"/>
    </row>
    <row r="290" ht="15.75" customHeight="1">
      <c r="Q290" s="106"/>
    </row>
    <row r="291" ht="15.75" customHeight="1">
      <c r="Q291" s="106"/>
    </row>
    <row r="292" ht="15.75" customHeight="1">
      <c r="Q292" s="106"/>
    </row>
    <row r="293" ht="15.75" customHeight="1">
      <c r="Q293" s="106"/>
    </row>
    <row r="294" ht="15.75" customHeight="1">
      <c r="Q294" s="106"/>
    </row>
    <row r="295" ht="15.75" customHeight="1">
      <c r="Q295" s="106"/>
    </row>
    <row r="296" ht="15.75" customHeight="1">
      <c r="Q296" s="106"/>
    </row>
    <row r="297" ht="15.75" customHeight="1">
      <c r="Q297" s="106"/>
    </row>
    <row r="298" ht="15.75" customHeight="1">
      <c r="Q298" s="106"/>
    </row>
    <row r="299" ht="15.75" customHeight="1">
      <c r="Q299" s="106"/>
    </row>
    <row r="300" ht="15.75" customHeight="1">
      <c r="Q300" s="106"/>
    </row>
    <row r="301" ht="15.75" customHeight="1">
      <c r="Q301" s="106"/>
    </row>
    <row r="302" ht="15.75" customHeight="1">
      <c r="Q302" s="106"/>
    </row>
    <row r="303" ht="15.75" customHeight="1">
      <c r="Q303" s="106"/>
    </row>
    <row r="304" ht="15.75" customHeight="1">
      <c r="Q304" s="106"/>
    </row>
    <row r="305" ht="15.75" customHeight="1">
      <c r="Q305" s="106"/>
    </row>
    <row r="306" ht="15.75" customHeight="1">
      <c r="Q306" s="106"/>
    </row>
    <row r="307" ht="15.75" customHeight="1">
      <c r="Q307" s="106"/>
    </row>
    <row r="308" ht="15.75" customHeight="1">
      <c r="Q308" s="106"/>
    </row>
    <row r="309" ht="15.75" customHeight="1">
      <c r="Q309" s="106"/>
    </row>
    <row r="310" ht="15.75" customHeight="1">
      <c r="Q310" s="106"/>
    </row>
    <row r="311" ht="15.75" customHeight="1">
      <c r="Q311" s="106"/>
    </row>
    <row r="312" ht="15.75" customHeight="1">
      <c r="Q312" s="106"/>
    </row>
    <row r="313" ht="15.75" customHeight="1">
      <c r="Q313" s="106"/>
    </row>
    <row r="314" ht="15.75" customHeight="1">
      <c r="Q314" s="106"/>
    </row>
    <row r="315" ht="15.75" customHeight="1">
      <c r="Q315" s="106"/>
    </row>
    <row r="316" ht="15.75" customHeight="1">
      <c r="Q316" s="106"/>
    </row>
    <row r="317" ht="15.75" customHeight="1">
      <c r="Q317" s="106"/>
    </row>
    <row r="318" ht="15.75" customHeight="1">
      <c r="Q318" s="106"/>
    </row>
    <row r="319" ht="15.75" customHeight="1">
      <c r="Q319" s="106"/>
    </row>
    <row r="320" ht="15.75" customHeight="1">
      <c r="Q320" s="106"/>
    </row>
    <row r="321" ht="15.75" customHeight="1">
      <c r="Q321" s="106"/>
    </row>
    <row r="322" ht="15.75" customHeight="1">
      <c r="Q322" s="106"/>
    </row>
    <row r="323" ht="15.75" customHeight="1">
      <c r="Q323" s="106"/>
    </row>
    <row r="324" ht="15.75" customHeight="1">
      <c r="Q324" s="106"/>
    </row>
    <row r="325" ht="15.75" customHeight="1">
      <c r="Q325" s="106"/>
    </row>
    <row r="326" ht="15.75" customHeight="1">
      <c r="Q326" s="106"/>
    </row>
    <row r="327" ht="15.75" customHeight="1">
      <c r="Q327" s="106"/>
    </row>
    <row r="328" ht="15.75" customHeight="1">
      <c r="Q328" s="106"/>
    </row>
    <row r="329" ht="15.75" customHeight="1">
      <c r="Q329" s="106"/>
    </row>
    <row r="330" ht="15.75" customHeight="1">
      <c r="Q330" s="106"/>
    </row>
    <row r="331" ht="15.75" customHeight="1">
      <c r="Q331" s="106"/>
    </row>
    <row r="332" ht="15.75" customHeight="1">
      <c r="Q332" s="106"/>
    </row>
    <row r="333" ht="15.75" customHeight="1">
      <c r="Q333" s="106"/>
    </row>
    <row r="334" ht="15.75" customHeight="1">
      <c r="Q334" s="106"/>
    </row>
    <row r="335" ht="15.75" customHeight="1">
      <c r="Q335" s="106"/>
    </row>
    <row r="336" ht="15.75" customHeight="1">
      <c r="Q336" s="106"/>
    </row>
    <row r="337" ht="15.75" customHeight="1">
      <c r="Q337" s="106"/>
    </row>
    <row r="338" ht="15.75" customHeight="1">
      <c r="Q338" s="106"/>
    </row>
    <row r="339" ht="15.75" customHeight="1">
      <c r="Q339" s="106"/>
    </row>
    <row r="340" ht="15.75" customHeight="1">
      <c r="Q340" s="106"/>
    </row>
    <row r="341" ht="15.75" customHeight="1">
      <c r="Q341" s="106"/>
    </row>
    <row r="342" ht="15.75" customHeight="1">
      <c r="Q342" s="106"/>
    </row>
    <row r="343" ht="15.75" customHeight="1">
      <c r="Q343" s="106"/>
    </row>
    <row r="344" ht="15.75" customHeight="1">
      <c r="Q344" s="106"/>
    </row>
    <row r="345" ht="15.75" customHeight="1">
      <c r="Q345" s="106"/>
    </row>
    <row r="346" ht="15.75" customHeight="1">
      <c r="Q346" s="106"/>
    </row>
    <row r="347" ht="15.75" customHeight="1">
      <c r="Q347" s="106"/>
    </row>
    <row r="348" ht="15.75" customHeight="1">
      <c r="Q348" s="106"/>
    </row>
    <row r="349" ht="15.75" customHeight="1">
      <c r="Q349" s="106"/>
    </row>
    <row r="350" ht="15.75" customHeight="1">
      <c r="Q350" s="106"/>
    </row>
    <row r="351" ht="15.75" customHeight="1">
      <c r="Q351" s="106"/>
    </row>
    <row r="352" ht="15.75" customHeight="1">
      <c r="Q352" s="106"/>
    </row>
    <row r="353" ht="15.75" customHeight="1">
      <c r="Q353" s="106"/>
    </row>
    <row r="354" ht="15.75" customHeight="1">
      <c r="Q354" s="106"/>
    </row>
    <row r="355" ht="15.75" customHeight="1">
      <c r="Q355" s="106"/>
    </row>
    <row r="356" ht="15.75" customHeight="1">
      <c r="Q356" s="106"/>
    </row>
    <row r="357" ht="15.75" customHeight="1">
      <c r="Q357" s="106"/>
    </row>
    <row r="358" ht="15.75" customHeight="1">
      <c r="Q358" s="106"/>
    </row>
    <row r="359" ht="15.75" customHeight="1">
      <c r="Q359" s="106"/>
    </row>
    <row r="360" ht="15.75" customHeight="1">
      <c r="Q360" s="106"/>
    </row>
    <row r="361" ht="15.75" customHeight="1">
      <c r="Q361" s="106"/>
    </row>
    <row r="362" ht="15.75" customHeight="1">
      <c r="Q362" s="106"/>
    </row>
    <row r="363" ht="15.75" customHeight="1">
      <c r="Q363" s="106"/>
    </row>
    <row r="364" ht="15.75" customHeight="1">
      <c r="Q364" s="106"/>
    </row>
    <row r="365" ht="15.75" customHeight="1">
      <c r="Q365" s="106"/>
    </row>
    <row r="366" ht="15.75" customHeight="1">
      <c r="Q366" s="106"/>
    </row>
    <row r="367" ht="15.75" customHeight="1">
      <c r="Q367" s="106"/>
    </row>
    <row r="368" ht="15.75" customHeight="1">
      <c r="Q368" s="106"/>
    </row>
    <row r="369" ht="15.75" customHeight="1">
      <c r="Q369" s="106"/>
    </row>
    <row r="370" ht="15.75" customHeight="1">
      <c r="Q370" s="106"/>
    </row>
    <row r="371" ht="15.75" customHeight="1">
      <c r="Q371" s="106"/>
    </row>
    <row r="372" ht="15.75" customHeight="1">
      <c r="Q372" s="106"/>
    </row>
    <row r="373" ht="15.75" customHeight="1">
      <c r="Q373" s="106"/>
    </row>
    <row r="374" ht="15.75" customHeight="1">
      <c r="Q374" s="106"/>
    </row>
    <row r="375" ht="15.75" customHeight="1">
      <c r="Q375" s="106"/>
    </row>
    <row r="376" ht="15.75" customHeight="1">
      <c r="Q376" s="106"/>
    </row>
    <row r="377" ht="15.75" customHeight="1">
      <c r="Q377" s="106"/>
    </row>
    <row r="378" ht="15.75" customHeight="1">
      <c r="Q378" s="106"/>
    </row>
    <row r="379" ht="15.75" customHeight="1">
      <c r="Q379" s="106"/>
    </row>
    <row r="380" ht="15.75" customHeight="1">
      <c r="Q380" s="106"/>
    </row>
    <row r="381" ht="15.75" customHeight="1">
      <c r="Q381" s="106"/>
    </row>
    <row r="382" ht="15.75" customHeight="1">
      <c r="Q382" s="106"/>
    </row>
    <row r="383" ht="15.75" customHeight="1">
      <c r="Q383" s="106"/>
    </row>
    <row r="384" ht="15.75" customHeight="1">
      <c r="Q384" s="106"/>
    </row>
    <row r="385" ht="15.75" customHeight="1">
      <c r="Q385" s="106"/>
    </row>
    <row r="386" ht="15.75" customHeight="1">
      <c r="Q386" s="106"/>
    </row>
    <row r="387" ht="15.75" customHeight="1">
      <c r="Q387" s="106"/>
    </row>
    <row r="388" ht="15.75" customHeight="1">
      <c r="Q388" s="106"/>
    </row>
    <row r="389" ht="15.75" customHeight="1">
      <c r="Q389" s="106"/>
    </row>
    <row r="390" ht="15.75" customHeight="1">
      <c r="Q390" s="106"/>
    </row>
    <row r="391" ht="15.75" customHeight="1">
      <c r="Q391" s="106"/>
    </row>
    <row r="392" ht="15.75" customHeight="1">
      <c r="Q392" s="106"/>
    </row>
    <row r="393" ht="15.75" customHeight="1">
      <c r="Q393" s="106"/>
    </row>
    <row r="394" ht="15.75" customHeight="1">
      <c r="Q394" s="106"/>
    </row>
    <row r="395" ht="15.75" customHeight="1">
      <c r="Q395" s="106"/>
    </row>
    <row r="396" ht="15.75" customHeight="1">
      <c r="Q396" s="106"/>
    </row>
    <row r="397" ht="15.75" customHeight="1">
      <c r="Q397" s="106"/>
    </row>
    <row r="398" ht="15.75" customHeight="1">
      <c r="Q398" s="106"/>
    </row>
    <row r="399" ht="15.75" customHeight="1">
      <c r="Q399" s="106"/>
    </row>
    <row r="400" ht="15.75" customHeight="1">
      <c r="Q400" s="106"/>
    </row>
    <row r="401" ht="15.75" customHeight="1">
      <c r="Q401" s="106"/>
    </row>
    <row r="402" ht="15.75" customHeight="1">
      <c r="Q402" s="106"/>
    </row>
    <row r="403" ht="15.75" customHeight="1">
      <c r="Q403" s="106"/>
    </row>
    <row r="404" ht="15.75" customHeight="1">
      <c r="Q404" s="106"/>
    </row>
    <row r="405" ht="15.75" customHeight="1">
      <c r="Q405" s="106"/>
    </row>
    <row r="406" ht="15.75" customHeight="1">
      <c r="Q406" s="106"/>
    </row>
    <row r="407" ht="15.75" customHeight="1">
      <c r="Q407" s="106"/>
    </row>
    <row r="408" ht="15.75" customHeight="1">
      <c r="Q408" s="106"/>
    </row>
    <row r="409" ht="15.75" customHeight="1">
      <c r="Q409" s="106"/>
    </row>
    <row r="410" ht="15.75" customHeight="1">
      <c r="Q410" s="106"/>
    </row>
    <row r="411" ht="15.75" customHeight="1">
      <c r="Q411" s="106"/>
    </row>
    <row r="412" ht="15.75" customHeight="1">
      <c r="Q412" s="106"/>
    </row>
    <row r="413" ht="15.75" customHeight="1">
      <c r="Q413" s="106"/>
    </row>
    <row r="414" ht="15.75" customHeight="1">
      <c r="Q414" s="106"/>
    </row>
    <row r="415" ht="15.75" customHeight="1">
      <c r="Q415" s="106"/>
    </row>
    <row r="416" ht="15.75" customHeight="1">
      <c r="Q416" s="106"/>
    </row>
    <row r="417" ht="15.75" customHeight="1">
      <c r="Q417" s="106"/>
    </row>
    <row r="418" ht="15.75" customHeight="1">
      <c r="Q418" s="106"/>
    </row>
    <row r="419" ht="15.75" customHeight="1">
      <c r="Q419" s="106"/>
    </row>
    <row r="420" ht="15.75" customHeight="1">
      <c r="Q420" s="106"/>
    </row>
    <row r="421" ht="15.75" customHeight="1">
      <c r="Q421" s="106"/>
    </row>
    <row r="422" ht="15.75" customHeight="1">
      <c r="Q422" s="106"/>
    </row>
    <row r="423" ht="15.75" customHeight="1">
      <c r="Q423" s="106"/>
    </row>
    <row r="424" ht="15.75" customHeight="1">
      <c r="Q424" s="106"/>
    </row>
    <row r="425" ht="15.75" customHeight="1">
      <c r="Q425" s="106"/>
    </row>
    <row r="426" ht="15.75" customHeight="1">
      <c r="Q426" s="106"/>
    </row>
    <row r="427" ht="15.75" customHeight="1">
      <c r="Q427" s="106"/>
    </row>
    <row r="428" ht="15.75" customHeight="1">
      <c r="Q428" s="106"/>
    </row>
    <row r="429" ht="15.75" customHeight="1">
      <c r="Q429" s="106"/>
    </row>
    <row r="430" ht="15.75" customHeight="1">
      <c r="Q430" s="106"/>
    </row>
    <row r="431" ht="15.75" customHeight="1">
      <c r="Q431" s="106"/>
    </row>
    <row r="432" ht="15.75" customHeight="1">
      <c r="Q432" s="106"/>
    </row>
    <row r="433" ht="15.75" customHeight="1">
      <c r="Q433" s="106"/>
    </row>
    <row r="434" ht="15.75" customHeight="1">
      <c r="Q434" s="106"/>
    </row>
    <row r="435" ht="15.75" customHeight="1">
      <c r="Q435" s="106"/>
    </row>
    <row r="436" ht="15.75" customHeight="1">
      <c r="Q436" s="106"/>
    </row>
    <row r="437" ht="15.75" customHeight="1">
      <c r="Q437" s="106"/>
    </row>
    <row r="438" ht="15.75" customHeight="1">
      <c r="Q438" s="106"/>
    </row>
    <row r="439" ht="15.75" customHeight="1">
      <c r="Q439" s="106"/>
    </row>
    <row r="440" ht="15.75" customHeight="1">
      <c r="Q440" s="106"/>
    </row>
    <row r="441" ht="15.75" customHeight="1">
      <c r="Q441" s="106"/>
    </row>
    <row r="442" ht="15.75" customHeight="1">
      <c r="Q442" s="106"/>
    </row>
    <row r="443" ht="15.75" customHeight="1">
      <c r="Q443" s="106"/>
    </row>
    <row r="444" ht="15.75" customHeight="1">
      <c r="Q444" s="106"/>
    </row>
    <row r="445" ht="15.75" customHeight="1">
      <c r="Q445" s="106"/>
    </row>
    <row r="446" ht="15.75" customHeight="1">
      <c r="Q446" s="106"/>
    </row>
    <row r="447" ht="15.75" customHeight="1">
      <c r="Q447" s="106"/>
    </row>
    <row r="448" ht="15.75" customHeight="1">
      <c r="Q448" s="106"/>
    </row>
    <row r="449" ht="15.75" customHeight="1">
      <c r="Q449" s="106"/>
    </row>
    <row r="450" ht="15.75" customHeight="1">
      <c r="Q450" s="106"/>
    </row>
    <row r="451" ht="15.75" customHeight="1">
      <c r="Q451" s="106"/>
    </row>
    <row r="452" ht="15.75" customHeight="1">
      <c r="Q452" s="106"/>
    </row>
    <row r="453" ht="15.75" customHeight="1">
      <c r="Q453" s="106"/>
    </row>
    <row r="454" ht="15.75" customHeight="1">
      <c r="Q454" s="106"/>
    </row>
    <row r="455" ht="15.75" customHeight="1">
      <c r="Q455" s="106"/>
    </row>
    <row r="456" ht="15.75" customHeight="1">
      <c r="Q456" s="106"/>
    </row>
    <row r="457" ht="15.75" customHeight="1">
      <c r="Q457" s="106"/>
    </row>
    <row r="458" ht="15.75" customHeight="1">
      <c r="Q458" s="106"/>
    </row>
    <row r="459" ht="15.75" customHeight="1">
      <c r="Q459" s="106"/>
    </row>
    <row r="460" ht="15.75" customHeight="1">
      <c r="Q460" s="106"/>
    </row>
    <row r="461" ht="15.75" customHeight="1">
      <c r="Q461" s="106"/>
    </row>
    <row r="462" ht="15.75" customHeight="1">
      <c r="Q462" s="106"/>
    </row>
    <row r="463" ht="15.75" customHeight="1">
      <c r="Q463" s="106"/>
    </row>
    <row r="464" ht="15.75" customHeight="1">
      <c r="Q464" s="106"/>
    </row>
    <row r="465" ht="15.75" customHeight="1">
      <c r="Q465" s="106"/>
    </row>
    <row r="466" ht="15.75" customHeight="1">
      <c r="Q466" s="106"/>
    </row>
    <row r="467" ht="15.75" customHeight="1">
      <c r="Q467" s="106"/>
    </row>
    <row r="468" ht="15.75" customHeight="1">
      <c r="Q468" s="106"/>
    </row>
    <row r="469" ht="15.75" customHeight="1">
      <c r="Q469" s="106"/>
    </row>
    <row r="470" ht="15.75" customHeight="1">
      <c r="Q470" s="106"/>
    </row>
    <row r="471" ht="15.75" customHeight="1">
      <c r="Q471" s="106"/>
    </row>
    <row r="472" ht="15.75" customHeight="1">
      <c r="Q472" s="106"/>
    </row>
    <row r="473" ht="15.75" customHeight="1">
      <c r="Q473" s="106"/>
    </row>
    <row r="474" ht="15.75" customHeight="1">
      <c r="Q474" s="106"/>
    </row>
    <row r="475" ht="15.75" customHeight="1">
      <c r="Q475" s="106"/>
    </row>
    <row r="476" ht="15.75" customHeight="1">
      <c r="Q476" s="106"/>
    </row>
    <row r="477" ht="15.75" customHeight="1">
      <c r="Q477" s="106"/>
    </row>
    <row r="478" ht="15.75" customHeight="1">
      <c r="Q478" s="106"/>
    </row>
    <row r="479" ht="15.75" customHeight="1">
      <c r="Q479" s="106"/>
    </row>
    <row r="480" ht="15.75" customHeight="1">
      <c r="Q480" s="106"/>
    </row>
    <row r="481" ht="15.75" customHeight="1">
      <c r="Q481" s="106"/>
    </row>
    <row r="482" ht="15.75" customHeight="1">
      <c r="Q482" s="106"/>
    </row>
    <row r="483" ht="15.75" customHeight="1">
      <c r="Q483" s="106"/>
    </row>
    <row r="484" ht="15.75" customHeight="1">
      <c r="Q484" s="106"/>
    </row>
    <row r="485" ht="15.75" customHeight="1">
      <c r="Q485" s="106"/>
    </row>
    <row r="486" ht="15.75" customHeight="1">
      <c r="Q486" s="106"/>
    </row>
    <row r="487" ht="15.75" customHeight="1">
      <c r="Q487" s="106"/>
    </row>
    <row r="488" ht="15.75" customHeight="1">
      <c r="Q488" s="106"/>
    </row>
    <row r="489" ht="15.75" customHeight="1">
      <c r="Q489" s="106"/>
    </row>
    <row r="490" ht="15.75" customHeight="1">
      <c r="Q490" s="106"/>
    </row>
    <row r="491" ht="15.75" customHeight="1">
      <c r="Q491" s="106"/>
    </row>
    <row r="492" ht="15.75" customHeight="1">
      <c r="Q492" s="106"/>
    </row>
    <row r="493" ht="15.75" customHeight="1">
      <c r="Q493" s="106"/>
    </row>
    <row r="494" ht="15.75" customHeight="1">
      <c r="Q494" s="106"/>
    </row>
    <row r="495" ht="15.75" customHeight="1">
      <c r="Q495" s="106"/>
    </row>
    <row r="496" ht="15.75" customHeight="1">
      <c r="Q496" s="106"/>
    </row>
    <row r="497" ht="15.75" customHeight="1">
      <c r="Q497" s="106"/>
    </row>
    <row r="498" ht="15.75" customHeight="1">
      <c r="Q498" s="106"/>
    </row>
    <row r="499" ht="15.75" customHeight="1">
      <c r="Q499" s="106"/>
    </row>
    <row r="500" ht="15.75" customHeight="1">
      <c r="Q500" s="106"/>
    </row>
    <row r="501" ht="15.75" customHeight="1">
      <c r="Q501" s="106"/>
    </row>
    <row r="502" ht="15.75" customHeight="1">
      <c r="Q502" s="106"/>
    </row>
    <row r="503" ht="15.75" customHeight="1">
      <c r="Q503" s="106"/>
    </row>
    <row r="504" ht="15.75" customHeight="1">
      <c r="Q504" s="106"/>
    </row>
    <row r="505" ht="15.75" customHeight="1">
      <c r="Q505" s="106"/>
    </row>
    <row r="506" ht="15.75" customHeight="1">
      <c r="Q506" s="106"/>
    </row>
    <row r="507" ht="15.75" customHeight="1">
      <c r="Q507" s="106"/>
    </row>
    <row r="508" ht="15.75" customHeight="1">
      <c r="Q508" s="106"/>
    </row>
    <row r="509" ht="15.75" customHeight="1">
      <c r="Q509" s="106"/>
    </row>
    <row r="510" ht="15.75" customHeight="1">
      <c r="Q510" s="106"/>
    </row>
    <row r="511" ht="15.75" customHeight="1">
      <c r="Q511" s="106"/>
    </row>
    <row r="512" ht="15.75" customHeight="1">
      <c r="Q512" s="106"/>
    </row>
    <row r="513" ht="15.75" customHeight="1">
      <c r="Q513" s="106"/>
    </row>
    <row r="514" ht="15.75" customHeight="1">
      <c r="Q514" s="106"/>
    </row>
    <row r="515" ht="15.75" customHeight="1">
      <c r="Q515" s="106"/>
    </row>
    <row r="516" ht="15.75" customHeight="1">
      <c r="Q516" s="106"/>
    </row>
    <row r="517" ht="15.75" customHeight="1">
      <c r="Q517" s="106"/>
    </row>
    <row r="518" ht="15.75" customHeight="1">
      <c r="Q518" s="106"/>
    </row>
    <row r="519" ht="15.75" customHeight="1">
      <c r="Q519" s="106"/>
    </row>
    <row r="520" ht="15.75" customHeight="1">
      <c r="Q520" s="106"/>
    </row>
    <row r="521" ht="15.75" customHeight="1">
      <c r="Q521" s="106"/>
    </row>
    <row r="522" ht="15.75" customHeight="1">
      <c r="Q522" s="106"/>
    </row>
    <row r="523" ht="15.75" customHeight="1">
      <c r="Q523" s="106"/>
    </row>
    <row r="524" ht="15.75" customHeight="1">
      <c r="Q524" s="106"/>
    </row>
    <row r="525" ht="15.75" customHeight="1">
      <c r="Q525" s="106"/>
    </row>
    <row r="526" ht="15.75" customHeight="1">
      <c r="Q526" s="106"/>
    </row>
    <row r="527" ht="15.75" customHeight="1">
      <c r="Q527" s="106"/>
    </row>
    <row r="528" ht="15.75" customHeight="1">
      <c r="Q528" s="106"/>
    </row>
    <row r="529" ht="15.75" customHeight="1">
      <c r="Q529" s="106"/>
    </row>
    <row r="530" ht="15.75" customHeight="1">
      <c r="Q530" s="106"/>
    </row>
    <row r="531" ht="15.75" customHeight="1">
      <c r="Q531" s="106"/>
    </row>
    <row r="532" ht="15.75" customHeight="1">
      <c r="Q532" s="106"/>
    </row>
    <row r="533" ht="15.75" customHeight="1">
      <c r="Q533" s="106"/>
    </row>
    <row r="534" ht="15.75" customHeight="1">
      <c r="Q534" s="106"/>
    </row>
    <row r="535" ht="15.75" customHeight="1">
      <c r="Q535" s="106"/>
    </row>
    <row r="536" ht="15.75" customHeight="1">
      <c r="Q536" s="106"/>
    </row>
    <row r="537" ht="15.75" customHeight="1">
      <c r="Q537" s="106"/>
    </row>
    <row r="538" ht="15.75" customHeight="1">
      <c r="Q538" s="106"/>
    </row>
    <row r="539" ht="15.75" customHeight="1">
      <c r="Q539" s="106"/>
    </row>
    <row r="540" ht="15.75" customHeight="1">
      <c r="Q540" s="106"/>
    </row>
    <row r="541" ht="15.75" customHeight="1">
      <c r="Q541" s="106"/>
    </row>
    <row r="542" ht="15.75" customHeight="1">
      <c r="Q542" s="106"/>
    </row>
    <row r="543" ht="15.75" customHeight="1">
      <c r="Q543" s="106"/>
    </row>
    <row r="544" ht="15.75" customHeight="1">
      <c r="Q544" s="106"/>
    </row>
    <row r="545" ht="15.75" customHeight="1">
      <c r="Q545" s="106"/>
    </row>
    <row r="546" ht="15.75" customHeight="1">
      <c r="Q546" s="106"/>
    </row>
    <row r="547" ht="15.75" customHeight="1">
      <c r="Q547" s="106"/>
    </row>
    <row r="548" ht="15.75" customHeight="1">
      <c r="Q548" s="106"/>
    </row>
    <row r="549" ht="15.75" customHeight="1">
      <c r="Q549" s="106"/>
    </row>
    <row r="550" ht="15.75" customHeight="1">
      <c r="Q550" s="106"/>
    </row>
    <row r="551" ht="15.75" customHeight="1">
      <c r="Q551" s="106"/>
    </row>
    <row r="552" ht="15.75" customHeight="1">
      <c r="Q552" s="106"/>
    </row>
    <row r="553" ht="15.75" customHeight="1">
      <c r="Q553" s="106"/>
    </row>
    <row r="554" ht="15.75" customHeight="1">
      <c r="Q554" s="106"/>
    </row>
    <row r="555" ht="15.75" customHeight="1">
      <c r="Q555" s="106"/>
    </row>
    <row r="556" ht="15.75" customHeight="1">
      <c r="Q556" s="106"/>
    </row>
    <row r="557" ht="15.75" customHeight="1">
      <c r="Q557" s="106"/>
    </row>
    <row r="558" ht="15.75" customHeight="1">
      <c r="Q558" s="106"/>
    </row>
    <row r="559" ht="15.75" customHeight="1">
      <c r="Q559" s="106"/>
    </row>
    <row r="560" ht="15.75" customHeight="1">
      <c r="Q560" s="106"/>
    </row>
    <row r="561" ht="15.75" customHeight="1">
      <c r="Q561" s="106"/>
    </row>
    <row r="562" ht="15.75" customHeight="1">
      <c r="Q562" s="106"/>
    </row>
    <row r="563" ht="15.75" customHeight="1">
      <c r="Q563" s="106"/>
    </row>
    <row r="564" ht="15.75" customHeight="1">
      <c r="Q564" s="106"/>
    </row>
    <row r="565" ht="15.75" customHeight="1">
      <c r="Q565" s="106"/>
    </row>
    <row r="566" ht="15.75" customHeight="1">
      <c r="Q566" s="106"/>
    </row>
    <row r="567" ht="15.75" customHeight="1">
      <c r="Q567" s="106"/>
    </row>
    <row r="568" ht="15.75" customHeight="1">
      <c r="Q568" s="106"/>
    </row>
    <row r="569" ht="15.75" customHeight="1">
      <c r="Q569" s="106"/>
    </row>
    <row r="570" ht="15.75" customHeight="1">
      <c r="Q570" s="106"/>
    </row>
    <row r="571" ht="15.75" customHeight="1">
      <c r="Q571" s="106"/>
    </row>
    <row r="572" ht="15.75" customHeight="1">
      <c r="Q572" s="106"/>
    </row>
    <row r="573" ht="15.75" customHeight="1">
      <c r="Q573" s="106"/>
    </row>
    <row r="574" ht="15.75" customHeight="1">
      <c r="Q574" s="106"/>
    </row>
    <row r="575" ht="15.75" customHeight="1">
      <c r="Q575" s="106"/>
    </row>
    <row r="576" ht="15.75" customHeight="1">
      <c r="Q576" s="106"/>
    </row>
    <row r="577" ht="15.75" customHeight="1">
      <c r="Q577" s="106"/>
    </row>
    <row r="578" ht="15.75" customHeight="1">
      <c r="Q578" s="106"/>
    </row>
    <row r="579" ht="15.75" customHeight="1">
      <c r="Q579" s="106"/>
    </row>
    <row r="580" ht="15.75" customHeight="1">
      <c r="Q580" s="106"/>
    </row>
    <row r="581" ht="15.75" customHeight="1">
      <c r="Q581" s="106"/>
    </row>
    <row r="582" ht="15.75" customHeight="1">
      <c r="Q582" s="106"/>
    </row>
    <row r="583" ht="15.75" customHeight="1">
      <c r="Q583" s="106"/>
    </row>
    <row r="584" ht="15.75" customHeight="1">
      <c r="Q584" s="106"/>
    </row>
    <row r="585" ht="15.75" customHeight="1">
      <c r="Q585" s="106"/>
    </row>
    <row r="586" ht="15.75" customHeight="1">
      <c r="Q586" s="106"/>
    </row>
    <row r="587" ht="15.75" customHeight="1">
      <c r="Q587" s="106"/>
    </row>
    <row r="588" ht="15.75" customHeight="1">
      <c r="Q588" s="106"/>
    </row>
    <row r="589" ht="15.75" customHeight="1">
      <c r="Q589" s="106"/>
    </row>
    <row r="590" ht="15.75" customHeight="1">
      <c r="Q590" s="106"/>
    </row>
    <row r="591" ht="15.75" customHeight="1">
      <c r="Q591" s="106"/>
    </row>
    <row r="592" ht="15.75" customHeight="1">
      <c r="Q592" s="106"/>
    </row>
    <row r="593" ht="15.75" customHeight="1">
      <c r="Q593" s="106"/>
    </row>
    <row r="594" ht="15.75" customHeight="1">
      <c r="Q594" s="106"/>
    </row>
    <row r="595" ht="15.75" customHeight="1">
      <c r="Q595" s="106"/>
    </row>
    <row r="596" ht="15.75" customHeight="1">
      <c r="Q596" s="106"/>
    </row>
    <row r="597" ht="15.75" customHeight="1">
      <c r="Q597" s="106"/>
    </row>
    <row r="598" ht="15.75" customHeight="1">
      <c r="Q598" s="106"/>
    </row>
    <row r="599" ht="15.75" customHeight="1">
      <c r="Q599" s="106"/>
    </row>
    <row r="600" ht="15.75" customHeight="1">
      <c r="Q600" s="106"/>
    </row>
    <row r="601" ht="15.75" customHeight="1">
      <c r="Q601" s="106"/>
    </row>
    <row r="602" ht="15.75" customHeight="1">
      <c r="Q602" s="106"/>
    </row>
    <row r="603" ht="15.75" customHeight="1">
      <c r="Q603" s="106"/>
    </row>
    <row r="604" ht="15.75" customHeight="1">
      <c r="Q604" s="106"/>
    </row>
    <row r="605" ht="15.75" customHeight="1">
      <c r="Q605" s="106"/>
    </row>
    <row r="606" ht="15.75" customHeight="1">
      <c r="Q606" s="106"/>
    </row>
    <row r="607" ht="15.75" customHeight="1">
      <c r="Q607" s="106"/>
    </row>
    <row r="608" ht="15.75" customHeight="1">
      <c r="Q608" s="106"/>
    </row>
    <row r="609" ht="15.75" customHeight="1">
      <c r="Q609" s="106"/>
    </row>
    <row r="610" ht="15.75" customHeight="1">
      <c r="Q610" s="106"/>
    </row>
    <row r="611" ht="15.75" customHeight="1">
      <c r="Q611" s="106"/>
    </row>
    <row r="612" ht="15.75" customHeight="1">
      <c r="Q612" s="106"/>
    </row>
    <row r="613" ht="15.75" customHeight="1">
      <c r="Q613" s="106"/>
    </row>
    <row r="614" ht="15.75" customHeight="1">
      <c r="Q614" s="106"/>
    </row>
    <row r="615" ht="15.75" customHeight="1">
      <c r="Q615" s="106"/>
    </row>
    <row r="616" ht="15.75" customHeight="1">
      <c r="Q616" s="106"/>
    </row>
    <row r="617" ht="15.75" customHeight="1">
      <c r="Q617" s="106"/>
    </row>
    <row r="618" ht="15.75" customHeight="1">
      <c r="Q618" s="106"/>
    </row>
    <row r="619" ht="15.75" customHeight="1">
      <c r="Q619" s="106"/>
    </row>
    <row r="620" ht="15.75" customHeight="1">
      <c r="Q620" s="106"/>
    </row>
    <row r="621" ht="15.75" customHeight="1">
      <c r="Q621" s="106"/>
    </row>
    <row r="622" ht="15.75" customHeight="1">
      <c r="Q622" s="106"/>
    </row>
    <row r="623" ht="15.75" customHeight="1">
      <c r="Q623" s="106"/>
    </row>
    <row r="624" ht="15.75" customHeight="1">
      <c r="Q624" s="106"/>
    </row>
    <row r="625" ht="15.75" customHeight="1">
      <c r="Q625" s="106"/>
    </row>
    <row r="626" ht="15.75" customHeight="1">
      <c r="Q626" s="106"/>
    </row>
    <row r="627" ht="15.75" customHeight="1">
      <c r="Q627" s="106"/>
    </row>
    <row r="628" ht="15.75" customHeight="1">
      <c r="Q628" s="106"/>
    </row>
    <row r="629" ht="15.75" customHeight="1">
      <c r="Q629" s="106"/>
    </row>
    <row r="630" ht="15.75" customHeight="1">
      <c r="Q630" s="106"/>
    </row>
    <row r="631" ht="15.75" customHeight="1">
      <c r="Q631" s="106"/>
    </row>
    <row r="632" ht="15.75" customHeight="1">
      <c r="Q632" s="106"/>
    </row>
    <row r="633" ht="15.75" customHeight="1">
      <c r="Q633" s="106"/>
    </row>
    <row r="634" ht="15.75" customHeight="1">
      <c r="Q634" s="106"/>
    </row>
    <row r="635" ht="15.75" customHeight="1">
      <c r="Q635" s="106"/>
    </row>
    <row r="636" ht="15.75" customHeight="1">
      <c r="Q636" s="106"/>
    </row>
    <row r="637" ht="15.75" customHeight="1">
      <c r="Q637" s="106"/>
    </row>
    <row r="638" ht="15.75" customHeight="1">
      <c r="Q638" s="106"/>
    </row>
    <row r="639" ht="15.75" customHeight="1">
      <c r="Q639" s="106"/>
    </row>
    <row r="640" ht="15.75" customHeight="1">
      <c r="Q640" s="106"/>
    </row>
    <row r="641" ht="15.75" customHeight="1">
      <c r="Q641" s="106"/>
    </row>
    <row r="642" ht="15.75" customHeight="1">
      <c r="Q642" s="106"/>
    </row>
    <row r="643" ht="15.75" customHeight="1">
      <c r="Q643" s="106"/>
    </row>
    <row r="644" ht="15.75" customHeight="1">
      <c r="Q644" s="106"/>
    </row>
    <row r="645" ht="15.75" customHeight="1">
      <c r="Q645" s="106"/>
    </row>
    <row r="646" ht="15.75" customHeight="1">
      <c r="Q646" s="106"/>
    </row>
    <row r="647" ht="15.75" customHeight="1">
      <c r="Q647" s="106"/>
    </row>
    <row r="648" ht="15.75" customHeight="1">
      <c r="Q648" s="106"/>
    </row>
    <row r="649" ht="15.75" customHeight="1">
      <c r="Q649" s="106"/>
    </row>
    <row r="650" ht="15.75" customHeight="1">
      <c r="Q650" s="106"/>
    </row>
    <row r="651" ht="15.75" customHeight="1">
      <c r="Q651" s="106"/>
    </row>
    <row r="652" ht="15.75" customHeight="1">
      <c r="Q652" s="106"/>
    </row>
    <row r="653" ht="15.75" customHeight="1">
      <c r="Q653" s="106"/>
    </row>
    <row r="654" ht="15.75" customHeight="1">
      <c r="Q654" s="106"/>
    </row>
    <row r="655" ht="15.75" customHeight="1">
      <c r="Q655" s="106"/>
    </row>
    <row r="656" ht="15.75" customHeight="1">
      <c r="Q656" s="106"/>
    </row>
    <row r="657" ht="15.75" customHeight="1">
      <c r="Q657" s="106"/>
    </row>
    <row r="658" ht="15.75" customHeight="1">
      <c r="Q658" s="106"/>
    </row>
    <row r="659" ht="15.75" customHeight="1">
      <c r="Q659" s="106"/>
    </row>
    <row r="660" ht="15.75" customHeight="1">
      <c r="Q660" s="106"/>
    </row>
    <row r="661" ht="15.75" customHeight="1">
      <c r="Q661" s="106"/>
    </row>
    <row r="662" ht="15.75" customHeight="1">
      <c r="Q662" s="106"/>
    </row>
    <row r="663" ht="15.75" customHeight="1">
      <c r="Q663" s="106"/>
    </row>
    <row r="664" ht="15.75" customHeight="1">
      <c r="Q664" s="106"/>
    </row>
    <row r="665" ht="15.75" customHeight="1">
      <c r="Q665" s="106"/>
    </row>
    <row r="666" ht="15.75" customHeight="1">
      <c r="Q666" s="106"/>
    </row>
    <row r="667" ht="15.75" customHeight="1">
      <c r="Q667" s="106"/>
    </row>
    <row r="668" ht="15.75" customHeight="1">
      <c r="Q668" s="106"/>
    </row>
    <row r="669" ht="15.75" customHeight="1">
      <c r="Q669" s="106"/>
    </row>
    <row r="670" ht="15.75" customHeight="1">
      <c r="Q670" s="106"/>
    </row>
    <row r="671" ht="15.75" customHeight="1">
      <c r="Q671" s="106"/>
    </row>
    <row r="672" ht="15.75" customHeight="1">
      <c r="Q672" s="106"/>
    </row>
    <row r="673" ht="15.75" customHeight="1">
      <c r="Q673" s="106"/>
    </row>
    <row r="674" ht="15.75" customHeight="1">
      <c r="Q674" s="106"/>
    </row>
    <row r="675" ht="15.75" customHeight="1">
      <c r="Q675" s="106"/>
    </row>
    <row r="676" ht="15.75" customHeight="1">
      <c r="Q676" s="106"/>
    </row>
    <row r="677" ht="15.75" customHeight="1">
      <c r="Q677" s="106"/>
    </row>
    <row r="678" ht="15.75" customHeight="1">
      <c r="Q678" s="106"/>
    </row>
    <row r="679" ht="15.75" customHeight="1">
      <c r="Q679" s="106"/>
    </row>
    <row r="680" ht="15.75" customHeight="1">
      <c r="Q680" s="106"/>
    </row>
    <row r="681" ht="15.75" customHeight="1">
      <c r="Q681" s="106"/>
    </row>
    <row r="682" ht="15.75" customHeight="1">
      <c r="Q682" s="106"/>
    </row>
    <row r="683" ht="15.75" customHeight="1">
      <c r="Q683" s="106"/>
    </row>
    <row r="684" ht="15.75" customHeight="1">
      <c r="Q684" s="106"/>
    </row>
    <row r="685" ht="15.75" customHeight="1">
      <c r="Q685" s="106"/>
    </row>
    <row r="686" ht="15.75" customHeight="1">
      <c r="Q686" s="106"/>
    </row>
    <row r="687" ht="15.75" customHeight="1">
      <c r="Q687" s="106"/>
    </row>
    <row r="688" ht="15.75" customHeight="1">
      <c r="Q688" s="106"/>
    </row>
    <row r="689" ht="15.75" customHeight="1">
      <c r="Q689" s="106"/>
    </row>
    <row r="690" ht="15.75" customHeight="1">
      <c r="Q690" s="106"/>
    </row>
    <row r="691" ht="15.75" customHeight="1">
      <c r="Q691" s="106"/>
    </row>
    <row r="692" ht="15.75" customHeight="1">
      <c r="Q692" s="106"/>
    </row>
    <row r="693" ht="15.75" customHeight="1">
      <c r="Q693" s="106"/>
    </row>
    <row r="694" ht="15.75" customHeight="1">
      <c r="Q694" s="106"/>
    </row>
    <row r="695" ht="15.75" customHeight="1">
      <c r="Q695" s="106"/>
    </row>
    <row r="696" ht="15.75" customHeight="1">
      <c r="Q696" s="106"/>
    </row>
    <row r="697" ht="15.75" customHeight="1">
      <c r="Q697" s="106"/>
    </row>
    <row r="698" ht="15.75" customHeight="1">
      <c r="Q698" s="106"/>
    </row>
    <row r="699" ht="15.75" customHeight="1">
      <c r="Q699" s="106"/>
    </row>
    <row r="700" ht="15.75" customHeight="1">
      <c r="Q700" s="106"/>
    </row>
    <row r="701" ht="15.75" customHeight="1">
      <c r="Q701" s="106"/>
    </row>
    <row r="702" ht="15.75" customHeight="1">
      <c r="Q702" s="106"/>
    </row>
    <row r="703" ht="15.75" customHeight="1">
      <c r="Q703" s="106"/>
    </row>
    <row r="704" ht="15.75" customHeight="1">
      <c r="Q704" s="106"/>
    </row>
    <row r="705" ht="15.75" customHeight="1">
      <c r="Q705" s="106"/>
    </row>
    <row r="706" ht="15.75" customHeight="1">
      <c r="Q706" s="106"/>
    </row>
    <row r="707" ht="15.75" customHeight="1">
      <c r="Q707" s="106"/>
    </row>
    <row r="708" ht="15.75" customHeight="1">
      <c r="Q708" s="106"/>
    </row>
    <row r="709" ht="15.75" customHeight="1">
      <c r="Q709" s="106"/>
    </row>
    <row r="710" ht="15.75" customHeight="1">
      <c r="Q710" s="106"/>
    </row>
    <row r="711" ht="15.75" customHeight="1">
      <c r="Q711" s="106"/>
    </row>
    <row r="712" ht="15.75" customHeight="1">
      <c r="Q712" s="106"/>
    </row>
    <row r="713" ht="15.75" customHeight="1">
      <c r="Q713" s="106"/>
    </row>
    <row r="714" ht="15.75" customHeight="1">
      <c r="Q714" s="106"/>
    </row>
    <row r="715" ht="15.75" customHeight="1">
      <c r="Q715" s="106"/>
    </row>
    <row r="716" ht="15.75" customHeight="1">
      <c r="Q716" s="106"/>
    </row>
    <row r="717" ht="15.75" customHeight="1">
      <c r="Q717" s="106"/>
    </row>
    <row r="718" ht="15.75" customHeight="1">
      <c r="Q718" s="106"/>
    </row>
    <row r="719" ht="15.75" customHeight="1">
      <c r="Q719" s="106"/>
    </row>
    <row r="720" ht="15.75" customHeight="1">
      <c r="Q720" s="106"/>
    </row>
    <row r="721" ht="15.75" customHeight="1">
      <c r="Q721" s="106"/>
    </row>
    <row r="722" ht="15.75" customHeight="1">
      <c r="Q722" s="106"/>
    </row>
    <row r="723" ht="15.75" customHeight="1">
      <c r="Q723" s="106"/>
    </row>
    <row r="724" ht="15.75" customHeight="1">
      <c r="Q724" s="106"/>
    </row>
    <row r="725" ht="15.75" customHeight="1">
      <c r="Q725" s="106"/>
    </row>
    <row r="726" ht="15.75" customHeight="1">
      <c r="Q726" s="106"/>
    </row>
    <row r="727" ht="15.75" customHeight="1">
      <c r="Q727" s="106"/>
    </row>
    <row r="728" ht="15.75" customHeight="1">
      <c r="Q728" s="106"/>
    </row>
    <row r="729" ht="15.75" customHeight="1">
      <c r="Q729" s="106"/>
    </row>
    <row r="730" ht="15.75" customHeight="1">
      <c r="Q730" s="106"/>
    </row>
    <row r="731" ht="15.75" customHeight="1">
      <c r="Q731" s="106"/>
    </row>
    <row r="732" ht="15.75" customHeight="1">
      <c r="Q732" s="106"/>
    </row>
    <row r="733" ht="15.75" customHeight="1">
      <c r="Q733" s="106"/>
    </row>
    <row r="734" ht="15.75" customHeight="1">
      <c r="Q734" s="106"/>
    </row>
    <row r="735" ht="15.75" customHeight="1">
      <c r="Q735" s="106"/>
    </row>
    <row r="736" ht="15.75" customHeight="1">
      <c r="Q736" s="106"/>
    </row>
    <row r="737" ht="15.75" customHeight="1">
      <c r="Q737" s="106"/>
    </row>
    <row r="738" ht="15.75" customHeight="1">
      <c r="Q738" s="106"/>
    </row>
    <row r="739" ht="15.75" customHeight="1">
      <c r="Q739" s="106"/>
    </row>
    <row r="740" ht="15.75" customHeight="1">
      <c r="Q740" s="106"/>
    </row>
    <row r="741" ht="15.75" customHeight="1">
      <c r="Q741" s="106"/>
    </row>
    <row r="742" ht="15.75" customHeight="1">
      <c r="Q742" s="106"/>
    </row>
    <row r="743" ht="15.75" customHeight="1">
      <c r="Q743" s="106"/>
    </row>
    <row r="744" ht="15.75" customHeight="1">
      <c r="Q744" s="106"/>
    </row>
    <row r="745" ht="15.75" customHeight="1">
      <c r="Q745" s="106"/>
    </row>
    <row r="746" ht="15.75" customHeight="1">
      <c r="Q746" s="106"/>
    </row>
    <row r="747" ht="15.75" customHeight="1">
      <c r="Q747" s="106"/>
    </row>
    <row r="748" ht="15.75" customHeight="1">
      <c r="Q748" s="106"/>
    </row>
    <row r="749" ht="15.75" customHeight="1">
      <c r="Q749" s="106"/>
    </row>
    <row r="750" ht="15.75" customHeight="1">
      <c r="Q750" s="106"/>
    </row>
    <row r="751" ht="15.75" customHeight="1">
      <c r="Q751" s="106"/>
    </row>
    <row r="752" ht="15.75" customHeight="1">
      <c r="Q752" s="106"/>
    </row>
    <row r="753" ht="15.75" customHeight="1">
      <c r="Q753" s="106"/>
    </row>
    <row r="754" ht="15.75" customHeight="1">
      <c r="Q754" s="106"/>
    </row>
    <row r="755" ht="15.75" customHeight="1">
      <c r="Q755" s="106"/>
    </row>
    <row r="756" ht="15.75" customHeight="1">
      <c r="Q756" s="106"/>
    </row>
    <row r="757" ht="15.75" customHeight="1">
      <c r="Q757" s="106"/>
    </row>
    <row r="758" ht="15.75" customHeight="1">
      <c r="Q758" s="106"/>
    </row>
    <row r="759" ht="15.75" customHeight="1">
      <c r="Q759" s="106"/>
    </row>
    <row r="760" ht="15.75" customHeight="1">
      <c r="Q760" s="106"/>
    </row>
    <row r="761" ht="15.75" customHeight="1">
      <c r="Q761" s="106"/>
    </row>
    <row r="762" ht="15.75" customHeight="1">
      <c r="Q762" s="106"/>
    </row>
    <row r="763" ht="15.75" customHeight="1">
      <c r="Q763" s="106"/>
    </row>
    <row r="764" ht="15.75" customHeight="1">
      <c r="Q764" s="106"/>
    </row>
    <row r="765" ht="15.75" customHeight="1">
      <c r="Q765" s="106"/>
    </row>
    <row r="766" ht="15.75" customHeight="1">
      <c r="Q766" s="106"/>
    </row>
    <row r="767" ht="15.75" customHeight="1">
      <c r="Q767" s="106"/>
    </row>
    <row r="768" ht="15.75" customHeight="1">
      <c r="Q768" s="106"/>
    </row>
    <row r="769" ht="15.75" customHeight="1">
      <c r="Q769" s="106"/>
    </row>
    <row r="770" ht="15.75" customHeight="1">
      <c r="Q770" s="106"/>
    </row>
    <row r="771" ht="15.75" customHeight="1">
      <c r="Q771" s="106"/>
    </row>
    <row r="772" ht="15.75" customHeight="1">
      <c r="Q772" s="106"/>
    </row>
    <row r="773" ht="15.75" customHeight="1">
      <c r="Q773" s="106"/>
    </row>
    <row r="774" ht="15.75" customHeight="1">
      <c r="Q774" s="106"/>
    </row>
    <row r="775" ht="15.75" customHeight="1">
      <c r="Q775" s="106"/>
    </row>
    <row r="776" ht="15.75" customHeight="1">
      <c r="Q776" s="106"/>
    </row>
    <row r="777" ht="15.75" customHeight="1">
      <c r="Q777" s="106"/>
    </row>
    <row r="778" ht="15.75" customHeight="1">
      <c r="Q778" s="106"/>
    </row>
    <row r="779" ht="15.75" customHeight="1">
      <c r="Q779" s="106"/>
    </row>
    <row r="780" ht="15.75" customHeight="1">
      <c r="Q780" s="106"/>
    </row>
    <row r="781" ht="15.75" customHeight="1">
      <c r="Q781" s="106"/>
    </row>
    <row r="782" ht="15.75" customHeight="1">
      <c r="Q782" s="106"/>
    </row>
    <row r="783" ht="15.75" customHeight="1">
      <c r="Q783" s="106"/>
    </row>
    <row r="784" ht="15.75" customHeight="1">
      <c r="Q784" s="106"/>
    </row>
    <row r="785" ht="15.75" customHeight="1">
      <c r="Q785" s="106"/>
    </row>
    <row r="786" ht="15.75" customHeight="1">
      <c r="Q786" s="106"/>
    </row>
    <row r="787" ht="15.75" customHeight="1">
      <c r="Q787" s="106"/>
    </row>
    <row r="788" ht="15.75" customHeight="1">
      <c r="Q788" s="106"/>
    </row>
    <row r="789" ht="15.75" customHeight="1">
      <c r="Q789" s="106"/>
    </row>
    <row r="790" ht="15.75" customHeight="1">
      <c r="Q790" s="106"/>
    </row>
    <row r="791" ht="15.75" customHeight="1">
      <c r="Q791" s="106"/>
    </row>
    <row r="792" ht="15.75" customHeight="1">
      <c r="Q792" s="106"/>
    </row>
    <row r="793" ht="15.75" customHeight="1">
      <c r="Q793" s="106"/>
    </row>
    <row r="794" ht="15.75" customHeight="1">
      <c r="Q794" s="106"/>
    </row>
    <row r="795" ht="15.75" customHeight="1">
      <c r="Q795" s="106"/>
    </row>
    <row r="796" ht="15.75" customHeight="1">
      <c r="Q796" s="106"/>
    </row>
    <row r="797" ht="15.75" customHeight="1">
      <c r="Q797" s="106"/>
    </row>
    <row r="798" ht="15.75" customHeight="1">
      <c r="Q798" s="106"/>
    </row>
    <row r="799" ht="15.75" customHeight="1">
      <c r="Q799" s="106"/>
    </row>
    <row r="800" ht="15.75" customHeight="1">
      <c r="Q800" s="106"/>
    </row>
    <row r="801" ht="15.75" customHeight="1">
      <c r="Q801" s="106"/>
    </row>
    <row r="802" ht="15.75" customHeight="1">
      <c r="Q802" s="106"/>
    </row>
    <row r="803" ht="15.75" customHeight="1">
      <c r="Q803" s="106"/>
    </row>
    <row r="804" ht="15.75" customHeight="1">
      <c r="Q804" s="106"/>
    </row>
    <row r="805" ht="15.75" customHeight="1">
      <c r="Q805" s="106"/>
    </row>
    <row r="806" ht="15.75" customHeight="1">
      <c r="Q806" s="106"/>
    </row>
    <row r="807" ht="15.75" customHeight="1">
      <c r="Q807" s="106"/>
    </row>
    <row r="808" ht="15.75" customHeight="1">
      <c r="Q808" s="106"/>
    </row>
    <row r="809" ht="15.75" customHeight="1">
      <c r="Q809" s="106"/>
    </row>
    <row r="810" ht="15.75" customHeight="1">
      <c r="Q810" s="106"/>
    </row>
    <row r="811" ht="15.75" customHeight="1">
      <c r="Q811" s="106"/>
    </row>
    <row r="812" ht="15.75" customHeight="1">
      <c r="Q812" s="106"/>
    </row>
    <row r="813" ht="15.75" customHeight="1">
      <c r="Q813" s="106"/>
    </row>
    <row r="814" ht="15.75" customHeight="1">
      <c r="Q814" s="106"/>
    </row>
    <row r="815" ht="15.75" customHeight="1">
      <c r="Q815" s="106"/>
    </row>
    <row r="816" ht="15.75" customHeight="1">
      <c r="Q816" s="106"/>
    </row>
    <row r="817" ht="15.75" customHeight="1">
      <c r="Q817" s="106"/>
    </row>
    <row r="818" ht="15.75" customHeight="1">
      <c r="Q818" s="106"/>
    </row>
    <row r="819" ht="15.75" customHeight="1">
      <c r="Q819" s="106"/>
    </row>
    <row r="820" ht="15.75" customHeight="1">
      <c r="Q820" s="106"/>
    </row>
    <row r="821" ht="15.75" customHeight="1">
      <c r="Q821" s="106"/>
    </row>
    <row r="822" ht="15.75" customHeight="1">
      <c r="Q822" s="106"/>
    </row>
    <row r="823" ht="15.75" customHeight="1">
      <c r="Q823" s="106"/>
    </row>
    <row r="824" ht="15.75" customHeight="1">
      <c r="Q824" s="106"/>
    </row>
    <row r="825" ht="15.75" customHeight="1">
      <c r="Q825" s="106"/>
    </row>
    <row r="826" ht="15.75" customHeight="1">
      <c r="Q826" s="106"/>
    </row>
    <row r="827" ht="15.75" customHeight="1">
      <c r="Q827" s="106"/>
    </row>
    <row r="828" ht="15.75" customHeight="1">
      <c r="Q828" s="106"/>
    </row>
    <row r="829" ht="15.75" customHeight="1">
      <c r="Q829" s="106"/>
    </row>
    <row r="830" ht="15.75" customHeight="1">
      <c r="Q830" s="106"/>
    </row>
    <row r="831" ht="15.75" customHeight="1">
      <c r="Q831" s="106"/>
    </row>
    <row r="832" ht="15.75" customHeight="1">
      <c r="Q832" s="106"/>
    </row>
    <row r="833" ht="15.75" customHeight="1">
      <c r="Q833" s="106"/>
    </row>
    <row r="834" ht="15.75" customHeight="1">
      <c r="Q834" s="106"/>
    </row>
    <row r="835" ht="15.75" customHeight="1">
      <c r="Q835" s="106"/>
    </row>
    <row r="836" ht="15.75" customHeight="1">
      <c r="Q836" s="106"/>
    </row>
    <row r="837" ht="15.75" customHeight="1">
      <c r="Q837" s="106"/>
    </row>
    <row r="838" ht="15.75" customHeight="1">
      <c r="Q838" s="106"/>
    </row>
    <row r="839" ht="15.75" customHeight="1">
      <c r="Q839" s="106"/>
    </row>
    <row r="840" ht="15.75" customHeight="1">
      <c r="Q840" s="106"/>
    </row>
    <row r="841" ht="15.75" customHeight="1">
      <c r="Q841" s="106"/>
    </row>
    <row r="842" ht="15.75" customHeight="1">
      <c r="Q842" s="106"/>
    </row>
    <row r="843" ht="15.75" customHeight="1">
      <c r="Q843" s="106"/>
    </row>
    <row r="844" ht="15.75" customHeight="1">
      <c r="Q844" s="106"/>
    </row>
    <row r="845" ht="15.75" customHeight="1">
      <c r="Q845" s="106"/>
    </row>
    <row r="846" ht="15.75" customHeight="1">
      <c r="Q846" s="106"/>
    </row>
    <row r="847" ht="15.75" customHeight="1">
      <c r="Q847" s="106"/>
    </row>
    <row r="848" ht="15.75" customHeight="1">
      <c r="Q848" s="106"/>
    </row>
    <row r="849" ht="15.75" customHeight="1">
      <c r="Q849" s="106"/>
    </row>
    <row r="850" ht="15.75" customHeight="1">
      <c r="Q850" s="106"/>
    </row>
    <row r="851" ht="15.75" customHeight="1">
      <c r="Q851" s="106"/>
    </row>
    <row r="852" ht="15.75" customHeight="1">
      <c r="Q852" s="106"/>
    </row>
    <row r="853" ht="15.75" customHeight="1">
      <c r="Q853" s="106"/>
    </row>
    <row r="854" ht="15.75" customHeight="1">
      <c r="Q854" s="106"/>
    </row>
    <row r="855" ht="15.75" customHeight="1">
      <c r="Q855" s="106"/>
    </row>
    <row r="856" ht="15.75" customHeight="1">
      <c r="Q856" s="106"/>
    </row>
    <row r="857" ht="15.75" customHeight="1">
      <c r="Q857" s="106"/>
    </row>
    <row r="858" ht="15.75" customHeight="1">
      <c r="Q858" s="106"/>
    </row>
    <row r="859" ht="15.75" customHeight="1">
      <c r="Q859" s="106"/>
    </row>
    <row r="860" ht="15.75" customHeight="1">
      <c r="Q860" s="106"/>
    </row>
    <row r="861" ht="15.75" customHeight="1">
      <c r="Q861" s="106"/>
    </row>
    <row r="862" ht="15.75" customHeight="1">
      <c r="Q862" s="106"/>
    </row>
    <row r="863" ht="15.75" customHeight="1">
      <c r="Q863" s="106"/>
    </row>
    <row r="864" ht="15.75" customHeight="1">
      <c r="Q864" s="106"/>
    </row>
    <row r="865" ht="15.75" customHeight="1">
      <c r="Q865" s="106"/>
    </row>
    <row r="866" ht="15.75" customHeight="1">
      <c r="Q866" s="106"/>
    </row>
    <row r="867" ht="15.75" customHeight="1">
      <c r="Q867" s="106"/>
    </row>
    <row r="868" ht="15.75" customHeight="1">
      <c r="Q868" s="106"/>
    </row>
    <row r="869" ht="15.75" customHeight="1">
      <c r="Q869" s="106"/>
    </row>
    <row r="870" ht="15.75" customHeight="1">
      <c r="Q870" s="106"/>
    </row>
    <row r="871" ht="15.75" customHeight="1">
      <c r="Q871" s="106"/>
    </row>
    <row r="872" ht="15.75" customHeight="1">
      <c r="Q872" s="106"/>
    </row>
    <row r="873" ht="15.75" customHeight="1">
      <c r="Q873" s="106"/>
    </row>
    <row r="874" ht="15.75" customHeight="1">
      <c r="Q874" s="106"/>
    </row>
    <row r="875" ht="15.75" customHeight="1">
      <c r="Q875" s="106"/>
    </row>
    <row r="876" ht="15.75" customHeight="1">
      <c r="Q876" s="106"/>
    </row>
    <row r="877" ht="15.75" customHeight="1">
      <c r="Q877" s="106"/>
    </row>
    <row r="878" ht="15.75" customHeight="1">
      <c r="Q878" s="106"/>
    </row>
    <row r="879" ht="15.75" customHeight="1">
      <c r="Q879" s="106"/>
    </row>
    <row r="880" ht="15.75" customHeight="1">
      <c r="Q880" s="106"/>
    </row>
    <row r="881" ht="15.75" customHeight="1">
      <c r="Q881" s="106"/>
    </row>
    <row r="882" ht="15.75" customHeight="1">
      <c r="Q882" s="106"/>
    </row>
    <row r="883" ht="15.75" customHeight="1">
      <c r="Q883" s="106"/>
    </row>
    <row r="884" ht="15.75" customHeight="1">
      <c r="Q884" s="106"/>
    </row>
    <row r="885" ht="15.75" customHeight="1">
      <c r="Q885" s="106"/>
    </row>
    <row r="886" ht="15.75" customHeight="1">
      <c r="Q886" s="106"/>
    </row>
    <row r="887" ht="15.75" customHeight="1">
      <c r="Q887" s="106"/>
    </row>
    <row r="888" ht="15.75" customHeight="1">
      <c r="Q888" s="106"/>
    </row>
    <row r="889" ht="15.75" customHeight="1">
      <c r="Q889" s="106"/>
    </row>
    <row r="890" ht="15.75" customHeight="1">
      <c r="Q890" s="106"/>
    </row>
    <row r="891" ht="15.75" customHeight="1">
      <c r="Q891" s="106"/>
    </row>
    <row r="892" ht="15.75" customHeight="1">
      <c r="Q892" s="106"/>
    </row>
    <row r="893" ht="15.75" customHeight="1">
      <c r="Q893" s="106"/>
    </row>
    <row r="894" ht="15.75" customHeight="1">
      <c r="Q894" s="106"/>
    </row>
    <row r="895" ht="15.75" customHeight="1">
      <c r="Q895" s="106"/>
    </row>
    <row r="896" ht="15.75" customHeight="1">
      <c r="Q896" s="106"/>
    </row>
    <row r="897" ht="15.75" customHeight="1">
      <c r="Q897" s="106"/>
    </row>
    <row r="898" ht="15.75" customHeight="1">
      <c r="Q898" s="106"/>
    </row>
    <row r="899" ht="15.75" customHeight="1">
      <c r="Q899" s="106"/>
    </row>
    <row r="900" ht="15.75" customHeight="1">
      <c r="Q900" s="106"/>
    </row>
    <row r="901" ht="15.75" customHeight="1">
      <c r="Q901" s="106"/>
    </row>
    <row r="902" ht="15.75" customHeight="1">
      <c r="Q902" s="106"/>
    </row>
    <row r="903" ht="15.75" customHeight="1">
      <c r="Q903" s="106"/>
    </row>
    <row r="904" ht="15.75" customHeight="1">
      <c r="Q904" s="106"/>
    </row>
    <row r="905" ht="15.75" customHeight="1">
      <c r="Q905" s="106"/>
    </row>
    <row r="906" ht="15.75" customHeight="1">
      <c r="Q906" s="106"/>
    </row>
    <row r="907" ht="15.75" customHeight="1">
      <c r="Q907" s="106"/>
    </row>
    <row r="908" ht="15.75" customHeight="1">
      <c r="Q908" s="106"/>
    </row>
    <row r="909" ht="15.75" customHeight="1">
      <c r="Q909" s="106"/>
    </row>
    <row r="910" ht="15.75" customHeight="1">
      <c r="Q910" s="106"/>
    </row>
    <row r="911" ht="15.75" customHeight="1">
      <c r="Q911" s="106"/>
    </row>
    <row r="912" ht="15.75" customHeight="1">
      <c r="Q912" s="106"/>
    </row>
    <row r="913" ht="15.75" customHeight="1">
      <c r="Q913" s="106"/>
    </row>
    <row r="914" ht="15.75" customHeight="1">
      <c r="Q914" s="106"/>
    </row>
    <row r="915" ht="15.75" customHeight="1">
      <c r="Q915" s="106"/>
    </row>
    <row r="916" ht="15.75" customHeight="1">
      <c r="Q916" s="106"/>
    </row>
    <row r="917" ht="15.75" customHeight="1">
      <c r="Q917" s="106"/>
    </row>
    <row r="918" ht="15.75" customHeight="1">
      <c r="Q918" s="106"/>
    </row>
    <row r="919" ht="15.75" customHeight="1">
      <c r="Q919" s="106"/>
    </row>
    <row r="920" ht="15.75" customHeight="1">
      <c r="Q920" s="106"/>
    </row>
    <row r="921" ht="15.75" customHeight="1">
      <c r="Q921" s="106"/>
    </row>
    <row r="922" ht="15.75" customHeight="1">
      <c r="Q922" s="106"/>
    </row>
    <row r="923" ht="15.75" customHeight="1">
      <c r="Q923" s="106"/>
    </row>
    <row r="924" ht="15.75" customHeight="1">
      <c r="Q924" s="106"/>
    </row>
    <row r="925" ht="15.75" customHeight="1">
      <c r="Q925" s="106"/>
    </row>
    <row r="926" ht="15.75" customHeight="1">
      <c r="Q926" s="106"/>
    </row>
    <row r="927" ht="15.75" customHeight="1">
      <c r="Q927" s="106"/>
    </row>
    <row r="928" ht="15.75" customHeight="1">
      <c r="Q928" s="106"/>
    </row>
    <row r="929" ht="15.75" customHeight="1">
      <c r="Q929" s="106"/>
    </row>
    <row r="930" ht="15.75" customHeight="1">
      <c r="Q930" s="106"/>
    </row>
    <row r="931" ht="15.75" customHeight="1">
      <c r="Q931" s="106"/>
    </row>
    <row r="932" ht="15.75" customHeight="1">
      <c r="Q932" s="106"/>
    </row>
    <row r="933" ht="15.75" customHeight="1">
      <c r="Q933" s="106"/>
    </row>
    <row r="934" ht="15.75" customHeight="1">
      <c r="Q934" s="106"/>
    </row>
    <row r="935" ht="15.75" customHeight="1">
      <c r="Q935" s="106"/>
    </row>
    <row r="936" ht="15.75" customHeight="1">
      <c r="Q936" s="106"/>
    </row>
    <row r="937" ht="15.75" customHeight="1">
      <c r="Q937" s="106"/>
    </row>
    <row r="938" ht="15.75" customHeight="1">
      <c r="Q938" s="106"/>
    </row>
    <row r="939" ht="15.75" customHeight="1">
      <c r="Q939" s="106"/>
    </row>
    <row r="940" ht="15.75" customHeight="1">
      <c r="Q940" s="106"/>
    </row>
    <row r="941" ht="15.75" customHeight="1">
      <c r="Q941" s="106"/>
    </row>
    <row r="942" ht="15.75" customHeight="1">
      <c r="Q942" s="106"/>
    </row>
    <row r="943" ht="15.75" customHeight="1">
      <c r="Q943" s="106"/>
    </row>
    <row r="944" ht="15.75" customHeight="1">
      <c r="Q944" s="106"/>
    </row>
    <row r="945" ht="15.75" customHeight="1">
      <c r="Q945" s="106"/>
    </row>
    <row r="946" ht="15.75" customHeight="1">
      <c r="Q946" s="106"/>
    </row>
    <row r="947" ht="15.75" customHeight="1">
      <c r="Q947" s="106"/>
    </row>
    <row r="948" ht="15.75" customHeight="1">
      <c r="Q948" s="106"/>
    </row>
    <row r="949" ht="15.75" customHeight="1">
      <c r="Q949" s="106"/>
    </row>
    <row r="950" ht="15.75" customHeight="1">
      <c r="Q950" s="106"/>
    </row>
    <row r="951" ht="15.75" customHeight="1">
      <c r="Q951" s="106"/>
    </row>
    <row r="952" ht="15.75" customHeight="1">
      <c r="Q952" s="106"/>
    </row>
    <row r="953" ht="15.75" customHeight="1">
      <c r="Q953" s="106"/>
    </row>
    <row r="954" ht="15.75" customHeight="1">
      <c r="Q954" s="106"/>
    </row>
    <row r="955" ht="15.75" customHeight="1">
      <c r="Q955" s="106"/>
    </row>
    <row r="956" ht="15.75" customHeight="1">
      <c r="Q956" s="106"/>
    </row>
    <row r="957" ht="15.75" customHeight="1">
      <c r="Q957" s="106"/>
    </row>
    <row r="958" ht="15.75" customHeight="1">
      <c r="Q958" s="106"/>
    </row>
    <row r="959" ht="15.75" customHeight="1">
      <c r="Q959" s="106"/>
    </row>
    <row r="960" ht="15.75" customHeight="1">
      <c r="Q960" s="106"/>
    </row>
    <row r="961" ht="15.75" customHeight="1">
      <c r="Q961" s="106"/>
    </row>
    <row r="962" ht="15.75" customHeight="1">
      <c r="Q962" s="106"/>
    </row>
    <row r="963" ht="15.75" customHeight="1">
      <c r="Q963" s="106"/>
    </row>
    <row r="964" ht="15.75" customHeight="1">
      <c r="Q964" s="106"/>
    </row>
    <row r="965" ht="15.75" customHeight="1">
      <c r="Q965" s="106"/>
    </row>
    <row r="966" ht="15.75" customHeight="1">
      <c r="Q966" s="106"/>
    </row>
    <row r="967" ht="15.75" customHeight="1">
      <c r="Q967" s="106"/>
    </row>
    <row r="968" ht="15.75" customHeight="1">
      <c r="Q968" s="106"/>
    </row>
    <row r="969" ht="15.75" customHeight="1">
      <c r="Q969" s="106"/>
    </row>
    <row r="970" ht="15.75" customHeight="1">
      <c r="Q970" s="106"/>
    </row>
    <row r="971" ht="15.75" customHeight="1">
      <c r="Q971" s="106"/>
    </row>
    <row r="972" ht="15.75" customHeight="1">
      <c r="Q972" s="106"/>
    </row>
    <row r="973" ht="15.75" customHeight="1">
      <c r="Q973" s="106"/>
    </row>
    <row r="974" ht="15.75" customHeight="1">
      <c r="Q974" s="106"/>
    </row>
    <row r="975" ht="15.75" customHeight="1">
      <c r="Q975" s="106"/>
    </row>
    <row r="976" ht="15.75" customHeight="1">
      <c r="Q976" s="106"/>
    </row>
    <row r="977" ht="15.75" customHeight="1">
      <c r="Q977" s="106"/>
    </row>
    <row r="978" ht="15.75" customHeight="1">
      <c r="Q978" s="106"/>
    </row>
    <row r="979" ht="15.75" customHeight="1">
      <c r="Q979" s="106"/>
    </row>
    <row r="980" ht="15.75" customHeight="1">
      <c r="Q980" s="106"/>
    </row>
    <row r="981" ht="15.75" customHeight="1">
      <c r="Q981" s="106"/>
    </row>
    <row r="982" ht="15.75" customHeight="1">
      <c r="Q982" s="106"/>
    </row>
    <row r="983" ht="15.75" customHeight="1">
      <c r="Q983" s="106"/>
    </row>
    <row r="984" ht="15.75" customHeight="1">
      <c r="Q984" s="106"/>
    </row>
    <row r="985" ht="15.75" customHeight="1">
      <c r="Q985" s="106"/>
    </row>
    <row r="986" ht="15.75" customHeight="1">
      <c r="Q986" s="106"/>
    </row>
    <row r="987" ht="15.75" customHeight="1">
      <c r="Q987" s="106"/>
    </row>
    <row r="988" ht="15.75" customHeight="1">
      <c r="Q988" s="106"/>
    </row>
    <row r="989" ht="15.75" customHeight="1">
      <c r="Q989" s="106"/>
    </row>
    <row r="990" ht="15.75" customHeight="1">
      <c r="Q990" s="106"/>
    </row>
    <row r="991" ht="15.75" customHeight="1">
      <c r="Q991" s="106"/>
    </row>
    <row r="992" ht="15.75" customHeight="1">
      <c r="Q992" s="106"/>
    </row>
    <row r="993" ht="15.75" customHeight="1">
      <c r="Q993" s="106"/>
    </row>
    <row r="994" ht="15.75" customHeight="1">
      <c r="Q994" s="106"/>
    </row>
    <row r="995" ht="15.75" customHeight="1">
      <c r="Q995" s="106"/>
    </row>
    <row r="996" ht="15.75" customHeight="1">
      <c r="Q996" s="106"/>
    </row>
    <row r="997" ht="15.75" customHeight="1">
      <c r="Q997" s="106"/>
    </row>
    <row r="998" ht="15.75" customHeight="1">
      <c r="Q998" s="106"/>
    </row>
    <row r="999" ht="15.75" customHeight="1">
      <c r="Q999" s="106"/>
    </row>
    <row r="1000" ht="15.75" customHeight="1">
      <c r="Q1000" s="106"/>
    </row>
  </sheetData>
  <mergeCells count="15">
    <mergeCell ref="P1:P2"/>
    <mergeCell ref="Q1:Q2"/>
    <mergeCell ref="R1:R2"/>
    <mergeCell ref="S1:S2"/>
    <mergeCell ref="A1:A2"/>
    <mergeCell ref="A12:A14"/>
    <mergeCell ref="B12:F12"/>
    <mergeCell ref="G12:K12"/>
    <mergeCell ref="B1:F1"/>
    <mergeCell ref="G1:K1"/>
    <mergeCell ref="L1:L2"/>
    <mergeCell ref="M1:M2"/>
    <mergeCell ref="N1:N2"/>
    <mergeCell ref="O1:O2"/>
    <mergeCell ref="A11:K11"/>
  </mergeCells>
  <printOptions/>
  <pageMargins bottom="0.75" footer="0.0" header="0.0" left="0.7" right="0.7" top="0.75"/>
  <pageSetup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4.43"/>
    <col customWidth="1" min="6" max="6" width="30.29"/>
    <col customWidth="1" min="7" max="7" width="38.71"/>
    <col customWidth="1" min="8" max="8" width="46.43"/>
    <col customWidth="1" min="9" max="16" width="35.86"/>
  </cols>
  <sheetData>
    <row r="1">
      <c r="A1" s="107" t="s">
        <v>199</v>
      </c>
      <c r="B1" s="108" t="s">
        <v>200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109"/>
      <c r="B2" s="27"/>
      <c r="C2" s="27"/>
      <c r="D2" s="27"/>
      <c r="E2" s="27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107" t="s">
        <v>201</v>
      </c>
      <c r="E3" s="27"/>
      <c r="F3" s="107" t="s">
        <v>202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110"/>
      <c r="B4" s="111" t="s">
        <v>203</v>
      </c>
      <c r="C4" s="111" t="s">
        <v>204</v>
      </c>
      <c r="D4" s="111" t="s">
        <v>205</v>
      </c>
      <c r="E4" s="27"/>
      <c r="F4" s="110"/>
      <c r="G4" s="111" t="s">
        <v>206</v>
      </c>
      <c r="H4" s="111" t="s">
        <v>207</v>
      </c>
      <c r="I4" s="111" t="s">
        <v>208</v>
      </c>
      <c r="J4" s="111" t="s">
        <v>209</v>
      </c>
      <c r="K4" s="111" t="s">
        <v>210</v>
      </c>
      <c r="L4" s="111" t="s">
        <v>211</v>
      </c>
      <c r="M4" s="111" t="s">
        <v>212</v>
      </c>
      <c r="N4" s="111" t="s">
        <v>213</v>
      </c>
      <c r="O4" s="111" t="s">
        <v>214</v>
      </c>
      <c r="P4" s="111" t="s">
        <v>215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110"/>
      <c r="B5" s="112"/>
      <c r="C5" s="112"/>
      <c r="D5" s="112"/>
      <c r="E5" s="27"/>
      <c r="F5" s="110"/>
      <c r="G5" s="113" t="s">
        <v>216</v>
      </c>
      <c r="H5" s="113" t="s">
        <v>217</v>
      </c>
      <c r="I5" s="113" t="s">
        <v>218</v>
      </c>
      <c r="J5" s="113" t="s">
        <v>219</v>
      </c>
      <c r="K5" s="113" t="s">
        <v>220</v>
      </c>
      <c r="L5" s="113" t="s">
        <v>221</v>
      </c>
      <c r="M5" s="113" t="s">
        <v>222</v>
      </c>
      <c r="N5" s="113" t="s">
        <v>223</v>
      </c>
      <c r="O5" s="113" t="s">
        <v>224</v>
      </c>
      <c r="P5" s="113" t="s">
        <v>225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114" t="s">
        <v>226</v>
      </c>
      <c r="B6" s="115">
        <f>IFERROR(__xludf.DUMMYFUNCTION("IMPORTRANGE(""https://docs.google.com/spreadsheets/d/1FoJPr4VzSwNU02fwkNVdEBVT4Tlw9m5VX4GQT2cAjjY/edit?resourcekey=&amp;gid=580478337#gid=580478337"",""REKAP JAWABAN!D39"")"),53.0)</f>
        <v>53</v>
      </c>
      <c r="C6" s="116">
        <f t="shared" ref="C6:C11" si="1">D6-B6</f>
        <v>28</v>
      </c>
      <c r="D6" s="117">
        <f t="shared" ref="D6:D11" si="2">IF(B6&lt;50,80,IF(B6&lt;60,81,IF(B6&lt;65,82,IF(B6&lt;70,83,IF(B6&lt;75,84,IF(B6&lt;80,85,B6))))))</f>
        <v>81</v>
      </c>
      <c r="E6" s="27"/>
      <c r="F6" s="114" t="s">
        <v>226</v>
      </c>
      <c r="G6" s="118" t="str">
        <f>IFERROR(__xludf.DUMMYFUNCTION("IMPORTRANGE(""https://docs.google.com/spreadsheets/d/1FoJPr4VzSwNU02fwkNVdEBVT4Tlw9m5VX4GQT2cAjjY/edit?resourcekey=&amp;gid=580478337#gid=580478337"",""REKAP JAWABAN!I39"")"),"i11.0;R57.0;L03.1;I80.1;N18.5;I47.2;R60.1;D69.6")</f>
        <v>i11.0;R57.0;L03.1;I80.1;N18.5;I47.2;R60.1;D69.6</v>
      </c>
      <c r="H6" s="118" t="str">
        <f>IFERROR(__xludf.DUMMYFUNCTION("IMPORTRANGE(""https://docs.google.com/spreadsheets/d/1FoJPr4VzSwNU02fwkNVdEBVT4Tlw9m5VX4GQT2cAjjY/edit?resourcekey=&amp;gid=580478337#gid=580478337"",""REKAP JAWABAN!J39"")"),"C61;J96.0;J15.6;A41.5;I12.0;D63.0;D48.9")</f>
        <v>C61;J96.0;J15.6;A41.5;I12.0;D63.0;D48.9</v>
      </c>
      <c r="I6" s="118" t="str">
        <f>IFERROR(__xludf.DUMMYFUNCTION("IMPORTRANGE(""https://docs.google.com/spreadsheets/d/1FoJPr4VzSwNU02fwkNVdEBVT4Tlw9m5VX4GQT2cAjjY/edit?resourcekey=&amp;gid=580478337#gid=580478337"",""REKAP JAWABAN!K39"")"),"O14.1;O42.0;O99.2;O60.1;O82.1;Z37.0")</f>
        <v>O14.1;O42.0;O99.2;O60.1;O82.1;Z37.0</v>
      </c>
      <c r="J6" s="118" t="str">
        <f>IFERROR(__xludf.DUMMYFUNCTION("IMPORTRANGE(""https://docs.google.com/spreadsheets/d/1FoJPr4VzSwNU02fwkNVdEBVT4Tlw9m5VX4GQT2cAjjY/edit?resourcekey=&amp;gid=580478337#gid=580478337"",""REKAP JAWABAN!L39"")"),"I13.2;J81;D63.8;T82.4;E11.9;-;-")</f>
        <v>I13.2;J81;D63.8;T82.4;E11.9;-;-</v>
      </c>
      <c r="K6" s="118" t="str">
        <f>IFERROR(__xludf.DUMMYFUNCTION("IMPORTRANGE(""https://docs.google.com/spreadsheets/d/1FoJPr4VzSwNU02fwkNVdEBVT4Tlw9m5VX4GQT2cAjjY/edit?resourcekey=&amp;gid=580478337#gid=580478337"",""REKAP JAWABAN!M39"")"),"I63.5;-;G81.9")</f>
        <v>I63.5;-;G81.9</v>
      </c>
      <c r="L6" s="118" t="str">
        <f>IFERROR(__xludf.DUMMYFUNCTION("IMPORTRANGE(""https://docs.google.com/spreadsheets/d/1FoJPr4VzSwNU02fwkNVdEBVT4Tlw9m5VX4GQT2cAjjY/edit?resourcekey=&amp;gid=580478337#gid=580478337"",""REKAP JAWABAN!N39"")"),"T83.1;N20.2;-;N21.0;N39.0;-")</f>
        <v>T83.1;N20.2;-;N21.0;N39.0;-</v>
      </c>
      <c r="M6" s="118" t="str">
        <f>IFERROR(__xludf.DUMMYFUNCTION("IMPORTRANGE(""https://docs.google.com/spreadsheets/d/1FoJPr4VzSwNU02fwkNVdEBVT4Tlw9m5VX4GQT2cAjjY/edit?resourcekey=&amp;gid=580478337#gid=580478337"",""REKAP JAWABAN!O39"")"),"A15.0;-;-")</f>
        <v>A15.0;-;-</v>
      </c>
      <c r="N6" s="118" t="str">
        <f>IFERROR(__xludf.DUMMYFUNCTION("IMPORTRANGE(""https://docs.google.com/spreadsheets/d/1FoJPr4VzSwNU02fwkNVdEBVT4Tlw9m5VX4GQT2cAjjY/edit?resourcekey=&amp;gid=580478337#gid=580478337"",""REKAP JAWABAN!P39"")"),"Z01.2;K01.1;E11.9;K05.3;I10;-")</f>
        <v>Z01.2;K01.1;E11.9;K05.3;I10;-</v>
      </c>
      <c r="O6" s="118" t="str">
        <f>IFERROR(__xludf.DUMMYFUNCTION("IMPORTRANGE(""https://docs.google.com/spreadsheets/d/1FoJPr4VzSwNU02fwkNVdEBVT4Tlw9m5VX4GQT2cAjjY/edit?resourcekey=&amp;gid=580478337#gid=580478337"",""REKAP JAWABAN!Q39"")"),"H26.1;H26.1;E11.9;I10;-")</f>
        <v>H26.1;H26.1;E11.9;I10;-</v>
      </c>
      <c r="P6" s="118" t="str">
        <f>IFERROR(__xludf.DUMMYFUNCTION("IMPORTRANGE(""https://docs.google.com/spreadsheets/d/1FoJPr4VzSwNU02fwkNVdEBVT4Tlw9m5VX4GQT2cAjjY/edit?resourcekey=&amp;gid=580478337#gid=580478337"",""REKAP JAWABAN!R39"")"),"I67.6")</f>
        <v>I67.6</v>
      </c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14" t="s">
        <v>227</v>
      </c>
      <c r="B7" s="115">
        <f>IFERROR(__xludf.DUMMYFUNCTION("IMPORTRANGE(""https://docs.google.com/spreadsheets/d/1FoJPr4VzSwNU02fwkNVdEBVT4Tlw9m5VX4GQT2cAjjY/edit?resourcekey=&amp;gid=580478337#gid=580478337"",""REKAP JAWABAN!D40"")"),41.0)</f>
        <v>41</v>
      </c>
      <c r="C7" s="116">
        <f t="shared" si="1"/>
        <v>39</v>
      </c>
      <c r="D7" s="117">
        <f t="shared" si="2"/>
        <v>80</v>
      </c>
      <c r="E7" s="27"/>
      <c r="F7" s="114" t="s">
        <v>227</v>
      </c>
      <c r="G7" s="119" t="str">
        <f>IFERROR(__xludf.DUMMYFUNCTION("IMPORTRANGE(""https://docs.google.com/spreadsheets/d/1FoJPr4VzSwNU02fwkNVdEBVT4Tlw9m5VX4GQT2cAjjY/edit?resourcekey=&amp;gid=580478337#gid=580478337"",""REKAP JAWABAN!I40"")"),"I13.2;R57.0;L03.1;I82.9;-;I47.2;-;-")</f>
        <v>I13.2;R57.0;L03.1;I82.9;-;I47.2;-;-</v>
      </c>
      <c r="H7" s="119" t="str">
        <f>IFERROR(__xludf.DUMMYFUNCTION("IMPORTRANGE(""https://docs.google.com/spreadsheets/d/1FoJPr4VzSwNU02fwkNVdEBVT4Tlw9m5VX4GQT2cAjjY/edit?resourcekey=&amp;gid=580478337#gid=580478337"",""REKAP JAWABAN!J40"")"),"C61;J96.0;J18.9;A41.5;-;D63.0;-")</f>
        <v>C61;J96.0;J18.9;A41.5;-;D63.0;-</v>
      </c>
      <c r="I7" s="119" t="str">
        <f>IFERROR(__xludf.DUMMYFUNCTION("IMPORTRANGE(""https://docs.google.com/spreadsheets/d/1FoJPr4VzSwNU02fwkNVdEBVT4Tlw9m5VX4GQT2cAjjY/edit?resourcekey=&amp;gid=580478337#gid=580478337"",""REKAP JAWABAN!K40"")"),"O14.1;O42.0;O24.2;O60.1;O82.8;Z37.0")</f>
        <v>O14.1;O42.0;O24.2;O60.1;O82.8;Z37.0</v>
      </c>
      <c r="J7" s="119" t="str">
        <f>IFERROR(__xludf.DUMMYFUNCTION("IMPORTRANGE(""https://docs.google.com/spreadsheets/d/1FoJPr4VzSwNU02fwkNVdEBVT4Tlw9m5VX4GQT2cAjjY/edit?resourcekey=&amp;gid=580478337#gid=580478337"",""REKAP JAWABAN!L40"")"),"I13.2;-;D63.8;T82.7;E11.2;-;-")</f>
        <v>I13.2;-;D63.8;T82.7;E11.2;-;-</v>
      </c>
      <c r="K7" s="119" t="str">
        <f>IFERROR(__xludf.DUMMYFUNCTION("IMPORTRANGE(""https://docs.google.com/spreadsheets/d/1FoJPr4VzSwNU02fwkNVdEBVT4Tlw9m5VX4GQT2cAjjY/edit?resourcekey=&amp;gid=580478337#gid=580478337"",""REKAP JAWABAN!M40"")"),"I63.5;-;G81.9")</f>
        <v>I63.5;-;G81.9</v>
      </c>
      <c r="L7" s="119" t="str">
        <f>IFERROR(__xludf.DUMMYFUNCTION("IMPORTRANGE(""https://docs.google.com/spreadsheets/d/1FoJPr4VzSwNU02fwkNVdEBVT4Tlw9m5VX4GQT2cAjjY/edit?resourcekey=&amp;gid=580478337#gid=580478337"",""REKAP JAWABAN!N40"")"),"T83.8;N20.2;-;_;N39.0;_")</f>
        <v>T83.8;N20.2;-;_;N39.0;_</v>
      </c>
      <c r="M7" s="119" t="str">
        <f>IFERROR(__xludf.DUMMYFUNCTION("IMPORTRANGE(""https://docs.google.com/spreadsheets/d/1FoJPr4VzSwNU02fwkNVdEBVT4Tlw9m5VX4GQT2cAjjY/edit?resourcekey=&amp;gid=580478337#gid=580478337"",""REKAP JAWABAN!O40"")"),"A15.0;_;U88")</f>
        <v>A15.0;_;U88</v>
      </c>
      <c r="N7" s="119" t="str">
        <f>IFERROR(__xludf.DUMMYFUNCTION("IMPORTRANGE(""https://docs.google.com/spreadsheets/d/1FoJPr4VzSwNU02fwkNVdEBVT4Tlw9m5VX4GQT2cAjjY/edit?resourcekey=&amp;gid=580478337#gid=580478337"",""REKAP JAWABAN!P40"")"),"Z01.2;K01.1;E11.9;K05.3;I10;_")</f>
        <v>Z01.2;K01.1;E11.9;K05.3;I10;_</v>
      </c>
      <c r="O7" s="119" t="str">
        <f>IFERROR(__xludf.DUMMYFUNCTION("IMPORTRANGE(""https://docs.google.com/spreadsheets/d/1FoJPr4VzSwNU02fwkNVdEBVT4Tlw9m5VX4GQT2cAjjY/edit?resourcekey=&amp;gid=580478337#gid=580478337"",""REKAP JAWABAN!Q40"")"),"H26.1;W20.01;E11.3;I10;_")</f>
        <v>H26.1;W20.01;E11.3;I10;_</v>
      </c>
      <c r="P7" s="119" t="str">
        <f>IFERROR(__xludf.DUMMYFUNCTION("IMPORTRANGE(""https://docs.google.com/spreadsheets/d/1FoJPr4VzSwNU02fwkNVdEBVT4Tlw9m5VX4GQT2cAjjY/edit?resourcekey=&amp;gid=580478337#gid=580478337"",""REKAP JAWABAN!R40"")"),"I63.6")</f>
        <v>I63.6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14" t="s">
        <v>228</v>
      </c>
      <c r="B8" s="115">
        <f>IFERROR(__xludf.DUMMYFUNCTION("IMPORTRANGE(""https://docs.google.com/spreadsheets/d/1FoJPr4VzSwNU02fwkNVdEBVT4Tlw9m5VX4GQT2cAjjY/edit?resourcekey=&amp;gid=580478337#gid=580478337"",""REKAP JAWABAN!D41"")"),37.0)</f>
        <v>37</v>
      </c>
      <c r="C8" s="116">
        <f t="shared" si="1"/>
        <v>43</v>
      </c>
      <c r="D8" s="117">
        <f t="shared" si="2"/>
        <v>80</v>
      </c>
      <c r="E8" s="27"/>
      <c r="F8" s="114" t="s">
        <v>228</v>
      </c>
      <c r="G8" s="119" t="str">
        <f>IFERROR(__xludf.DUMMYFUNCTION("IMPORTRANGE(""https://docs.google.com/spreadsheets/d/1FoJPr4VzSwNU02fwkNVdEBVT4Tlw9m5VX4GQT2cAjjY/edit?resourcekey=&amp;gid=580478337#gid=580478337"",""REKAP JAWABAN!I41"")"),"i110;r57.0;l03.0;I82.411;N18.5;I47.2;R60.1;D69.6")</f>
        <v>i110;r57.0;l03.0;I82.411;N18.5;I47.2;R60.1;D69.6</v>
      </c>
      <c r="H8" s="119" t="str">
        <f>IFERROR(__xludf.DUMMYFUNCTION("IMPORTRANGE(""https://docs.google.com/spreadsheets/d/1FoJPr4VzSwNU02fwkNVdEBVT4Tlw9m5VX4GQT2cAjjY/edit?resourcekey=&amp;gid=580478337#gid=580478337"",""REKAP JAWABAN!J41"")"),"C61;J96.0;J18.9;A41.5;I12.0;D63.0;tidakada")</f>
        <v>C61;J96.0;J18.9;A41.5;I12.0;D63.0;tidakada</v>
      </c>
      <c r="I8" s="119" t="str">
        <f>IFERROR(__xludf.DUMMYFUNCTION("IMPORTRANGE(""https://docs.google.com/spreadsheets/d/1FoJPr4VzSwNU02fwkNVdEBVT4Tlw9m5VX4GQT2cAjjY/edit?resourcekey=&amp;gid=580478337#gid=580478337"",""REKAP JAWABAN!K41"")"),"O41.0;O42.0;O24.0;O60.3;O82.0;Z37.0")</f>
        <v>O41.0;O42.0;O24.0;O60.3;O82.0;Z37.0</v>
      </c>
      <c r="J8" s="119" t="str">
        <f>IFERROR(__xludf.DUMMYFUNCTION("IMPORTRANGE(""https://docs.google.com/spreadsheets/d/1FoJPr4VzSwNU02fwkNVdEBVT4Tlw9m5VX4GQT2cAjjY/edit?resourcekey=&amp;gid=580478337#gid=580478337"",""REKAP JAWABAN!L41"")"),"I13.2;J81;d63.8;T81.4;E10.2;I50.0;tidakada")</f>
        <v>I13.2;J81;d63.8;T81.4;E10.2;I50.0;tidakada</v>
      </c>
      <c r="K8" s="119" t="str">
        <f>IFERROR(__xludf.DUMMYFUNCTION("IMPORTRANGE(""https://docs.google.com/spreadsheets/d/1FoJPr4VzSwNU02fwkNVdEBVT4Tlw9m5VX4GQT2cAjjY/edit?resourcekey=&amp;gid=580478337#gid=580478337"",""REKAP JAWABAN!M41"")"),"I63.5;I66.4;G81.9")</f>
        <v>I63.5;I66.4;G81.9</v>
      </c>
      <c r="L8" s="119" t="str">
        <f>IFERROR(__xludf.DUMMYFUNCTION("IMPORTRANGE(""https://docs.google.com/spreadsheets/d/1FoJPr4VzSwNU02fwkNVdEBVT4Tlw9m5VX4GQT2cAjjY/edit?resourcekey=&amp;gid=580478337#gid=580478337"",""REKAP JAWABAN!N41"")"),"T83.1;N20.0;N20.1;N21.0;N39.0;tidakada")</f>
        <v>T83.1;N20.0;N20.1;N21.0;N39.0;tidakada</v>
      </c>
      <c r="M8" s="119" t="str">
        <f>IFERROR(__xludf.DUMMYFUNCTION("IMPORTRANGE(""https://docs.google.com/spreadsheets/d/1FoJPr4VzSwNU02fwkNVdEBVT4Tlw9m5VX4GQT2cAjjY/edit?resourcekey=&amp;gid=580478337#gid=580478337"",""REKAP JAWABAN!O41"")"),"A16.2;J47;U88;U84.33;U83.3")</f>
        <v>A16.2;J47;U88;U84.33;U83.3</v>
      </c>
      <c r="N8" s="119" t="str">
        <f>IFERROR(__xludf.DUMMYFUNCTION("IMPORTRANGE(""https://docs.google.com/spreadsheets/d/1FoJPr4VzSwNU02fwkNVdEBVT4Tlw9m5VX4GQT2cAjjY/edit?resourcekey=&amp;gid=580478337#gid=580478337"",""REKAP JAWABAN!P41"")"),"Z09.8;K01.15;E11.9;K05.30;I10;KG48;89070")</f>
        <v>Z09.8;K01.15;E11.9;K05.30;I10;KG48;89070</v>
      </c>
      <c r="O8" s="119" t="str">
        <f>IFERROR(__xludf.DUMMYFUNCTION("IMPORTRANGE(""https://docs.google.com/spreadsheets/d/1FoJPr4VzSwNU02fwkNVdEBVT4Tlw9m5VX4GQT2cAjjY/edit?resourcekey=&amp;gid=580478337#gid=580478337"",""REKAP JAWABAN!Q41"")"),"H26.1;W20.01;E11.9;I10;HL00")</f>
        <v>H26.1;W20.01;E11.9;I10;HL00</v>
      </c>
      <c r="P8" s="119" t="str">
        <f>IFERROR(__xludf.DUMMYFUNCTION("IMPORTRANGE(""https://docs.google.com/spreadsheets/d/1FoJPr4VzSwNU02fwkNVdEBVT4Tlw9m5VX4GQT2cAjjY/edit?resourcekey=&amp;gid=580478337#gid=580478337"",""REKAP JAWABAN!R41"")"),"I67.6")</f>
        <v>I67.6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114" t="s">
        <v>229</v>
      </c>
      <c r="B9" s="115">
        <f>IFERROR(__xludf.DUMMYFUNCTION("IMPORTRANGE(""https://docs.google.com/spreadsheets/d/1FoJPr4VzSwNU02fwkNVdEBVT4Tlw9m5VX4GQT2cAjjY/edit?resourcekey=&amp;gid=580478337#gid=580478337"",""REKAP JAWABAN!D42"")"),54.0)</f>
        <v>54</v>
      </c>
      <c r="C9" s="116">
        <f t="shared" si="1"/>
        <v>27</v>
      </c>
      <c r="D9" s="117">
        <f t="shared" si="2"/>
        <v>81</v>
      </c>
      <c r="E9" s="27"/>
      <c r="F9" s="114" t="s">
        <v>229</v>
      </c>
      <c r="G9" s="119" t="str">
        <f>IFERROR(__xludf.DUMMYFUNCTION("IMPORTRANGE(""https://docs.google.com/spreadsheets/d/1FoJPr4VzSwNU02fwkNVdEBVT4Tlw9m5VX4GQT2cAjjY/edit?resourcekey=&amp;gid=580478337#gid=580478337"",""REKAP JAWABAN!I42"")"),"I11.0;R57.0;L03.1;I82.8;N18.5;I47.2;R60.1;D69.6")</f>
        <v>I11.0;R57.0;L03.1;I82.8;N18.5;I47.2;R60.1;D69.6</v>
      </c>
      <c r="H9" s="119" t="str">
        <f>IFERROR(__xludf.DUMMYFUNCTION("IMPORTRANGE(""https://docs.google.com/spreadsheets/d/1FoJPr4VzSwNU02fwkNVdEBVT4Tlw9m5VX4GQT2cAjjY/edit?resourcekey=&amp;gid=580478337#gid=580478337"",""REKAP JAWABAN!J42"")"),"C61;J96.9;J18.9;A41.9;I13.1;D63.8;-")</f>
        <v>C61;J96.9;J18.9;A41.9;I13.1;D63.8;-</v>
      </c>
      <c r="I9" s="119" t="str">
        <f>IFERROR(__xludf.DUMMYFUNCTION("IMPORTRANGE(""https://docs.google.com/spreadsheets/d/1FoJPr4VzSwNU02fwkNVdEBVT4Tlw9m5VX4GQT2cAjjY/edit?resourcekey=&amp;gid=580478337#gid=580478337"",""REKAP JAWABAN!K42"")"),"O14.9;O42.0;O24.1;O60.1;O82.1;Z37.0")</f>
        <v>O14.9;O42.0;O24.1;O60.1;O82.1;Z37.0</v>
      </c>
      <c r="J9" s="119" t="str">
        <f>IFERROR(__xludf.DUMMYFUNCTION("IMPORTRANGE(""https://docs.google.com/spreadsheets/d/1FoJPr4VzSwNU02fwkNVdEBVT4Tlw9m5VX4GQT2cAjjY/edit?resourcekey=&amp;gid=580478337#gid=580478337"",""REKAP JAWABAN!L42"")"),"I13.1;J81;D63.8;T80.2;E11.9;I50.9;-")</f>
        <v>I13.1;J81;D63.8;T80.2;E11.9;I50.9;-</v>
      </c>
      <c r="K9" s="119" t="str">
        <f>IFERROR(__xludf.DUMMYFUNCTION("IMPORTRANGE(""https://docs.google.com/spreadsheets/d/1FoJPr4VzSwNU02fwkNVdEBVT4Tlw9m5VX4GQT2cAjjY/edit?resourcekey=&amp;gid=580478337#gid=580478337"",""REKAP JAWABAN!M42"")"),"I63.5;I66.0;G81.9")</f>
        <v>I63.5;I66.0;G81.9</v>
      </c>
      <c r="L9" s="119" t="str">
        <f>IFERROR(__xludf.DUMMYFUNCTION("IMPORTRANGE(""https://docs.google.com/spreadsheets/d/1FoJPr4VzSwNU02fwkNVdEBVT4Tlw9m5VX4GQT2cAjjY/edit?resourcekey=&amp;gid=580478337#gid=580478337"",""REKAP JAWABAN!N42"")"),"T83.1;N20.2;N20.2;N21.0;N39.0;-")</f>
        <v>T83.1;N20.2;N20.2;N21.0;N39.0;-</v>
      </c>
      <c r="M9" s="119" t="str">
        <f>IFERROR(__xludf.DUMMYFUNCTION("IMPORTRANGE(""https://docs.google.com/spreadsheets/d/1FoJPr4VzSwNU02fwkNVdEBVT4Tlw9m5VX4GQT2cAjjY/edit?resourcekey=&amp;gid=580478337#gid=580478337"",""REKAP JAWABAN!O42"")"),"A16.0;J47;-")</f>
        <v>A16.0;J47;-</v>
      </c>
      <c r="N9" s="119" t="str">
        <f>IFERROR(__xludf.DUMMYFUNCTION("IMPORTRANGE(""https://docs.google.com/spreadsheets/d/1FoJPr4VzSwNU02fwkNVdEBVT4Tlw9m5VX4GQT2cAjjY/edit?resourcekey=&amp;gid=580478337#gid=580478337"",""REKAP JAWABAN!P42"")"),"Z09.8;K01.1;E11.9;K05.3;I10;-")</f>
        <v>Z09.8;K01.1;E11.9;K05.3;I10;-</v>
      </c>
      <c r="O9" s="119" t="str">
        <f>IFERROR(__xludf.DUMMYFUNCTION("IMPORTRANGE(""https://docs.google.com/spreadsheets/d/1FoJPr4VzSwNU02fwkNVdEBVT4Tlw9m5VX4GQT2cAjjY/edit?resourcekey=&amp;gid=580478337#gid=580478337"",""REKAP JAWABAN!Q42"")"),"H26.1;W20;E11.9;I10;-")</f>
        <v>H26.1;W20;E11.9;I10;-</v>
      </c>
      <c r="P9" s="119" t="str">
        <f>IFERROR(__xludf.DUMMYFUNCTION("IMPORTRANGE(""https://docs.google.com/spreadsheets/d/1FoJPr4VzSwNU02fwkNVdEBVT4Tlw9m5VX4GQT2cAjjY/edit?resourcekey=&amp;gid=580478337#gid=580478337"",""REKAP JAWABAN!R42"")"),"I63.6")</f>
        <v>I63.6</v>
      </c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114" t="s">
        <v>230</v>
      </c>
      <c r="B10" s="115">
        <f>IFERROR(__xludf.DUMMYFUNCTION("IMPORTRANGE(""https://docs.google.com/spreadsheets/d/1FoJPr4VzSwNU02fwkNVdEBVT4Tlw9m5VX4GQT2cAjjY/edit?resourcekey=&amp;gid=580478337#gid=580478337"",""REKAP JAWABAN!D43"")"),52.0)</f>
        <v>52</v>
      </c>
      <c r="C10" s="116">
        <f t="shared" si="1"/>
        <v>29</v>
      </c>
      <c r="D10" s="117">
        <f t="shared" si="2"/>
        <v>81</v>
      </c>
      <c r="E10" s="27"/>
      <c r="F10" s="114" t="s">
        <v>230</v>
      </c>
      <c r="G10" s="119" t="str">
        <f>IFERROR(__xludf.DUMMYFUNCTION("IMPORTRANGE(""https://docs.google.com/spreadsheets/d/1FoJPr4VzSwNU02fwkNVdEBVT4Tlw9m5VX4GQT2cAjjY/edit?resourcekey=&amp;gid=580478337#gid=580478337"",""REKAP JAWABAN!I43"")"),"I150.0;R57.0;L03.9;I82.9;N18.5;I47.2;R60.9;D69.6")</f>
        <v>I150.0;R57.0;L03.9;I82.9;N18.5;I47.2;R60.9;D69.6</v>
      </c>
      <c r="H10" s="119" t="str">
        <f>IFERROR(__xludf.DUMMYFUNCTION("IMPORTRANGE(""https://docs.google.com/spreadsheets/d/1FoJPr4VzSwNU02fwkNVdEBVT4Tlw9m5VX4GQT2cAjjY/edit?resourcekey=&amp;gid=580478337#gid=580478337"",""REKAP JAWABAN!J43"")"),"C61;J96.0;J18.9;A41.5;I12.0;D64.9;Tidak")</f>
        <v>C61;J96.0;J18.9;A41.5;I12.0;D64.9;Tidak</v>
      </c>
      <c r="I10" s="119" t="str">
        <f>IFERROR(__xludf.DUMMYFUNCTION("IMPORTRANGE(""https://docs.google.com/spreadsheets/d/1FoJPr4VzSwNU02fwkNVdEBVT4Tlw9m5VX4GQT2cAjjY/edit?resourcekey=&amp;gid=580478337#gid=580478337"",""REKAP JAWABAN!K43"")"),"O14.1;O42.9;O24.4;O06.1;O82.1;Z37.0")</f>
        <v>O14.1;O42.9;O24.4;O06.1;O82.1;Z37.0</v>
      </c>
      <c r="J10" s="119" t="str">
        <f>IFERROR(__xludf.DUMMYFUNCTION("IMPORTRANGE(""https://docs.google.com/spreadsheets/d/1FoJPr4VzSwNU02fwkNVdEBVT4Tlw9m5VX4GQT2cAjjY/edit?resourcekey=&amp;gid=580478337#gid=580478337"",""REKAP JAWABAN!L43"")"),"I12.0;J81;D64.9;T80.2;E11.9;I50.0;Tidak")</f>
        <v>I12.0;J81;D64.9;T80.2;E11.9;I50.0;Tidak</v>
      </c>
      <c r="K10" s="119" t="str">
        <f>IFERROR(__xludf.DUMMYFUNCTION("IMPORTRANGE(""https://docs.google.com/spreadsheets/d/1FoJPr4VzSwNU02fwkNVdEBVT4Tlw9m5VX4GQT2cAjjY/edit?resourcekey=&amp;gid=580478337#gid=580478337"",""REKAP JAWABAN!M43"")"),"I63.2;I66.0;G81.9")</f>
        <v>I63.2;I66.0;G81.9</v>
      </c>
      <c r="L10" s="119" t="str">
        <f>IFERROR(__xludf.DUMMYFUNCTION("IMPORTRANGE(""https://docs.google.com/spreadsheets/d/1FoJPr4VzSwNU02fwkNVdEBVT4Tlw9m5VX4GQT2cAjjY/edit?resourcekey=&amp;gid=580478337#gid=580478337"",""REKAP JAWABAN!N43"")"),"Z46.6;N20.0;N20.1;N21.0;N39.0;Tidak")</f>
        <v>Z46.6;N20.0;N20.1;N21.0;N39.0;Tidak</v>
      </c>
      <c r="M10" s="119" t="str">
        <f>IFERROR(__xludf.DUMMYFUNCTION("IMPORTRANGE(""https://docs.google.com/spreadsheets/d/1FoJPr4VzSwNU02fwkNVdEBVT4Tlw9m5VX4GQT2cAjjY/edit?resourcekey=&amp;gid=580478337#gid=580478337"",""REKAP JAWABAN!O43"")"),"A15.0;J47;U83.3")</f>
        <v>A15.0;J47;U83.3</v>
      </c>
      <c r="N10" s="119" t="str">
        <f>IFERROR(__xludf.DUMMYFUNCTION("IMPORTRANGE(""https://docs.google.com/spreadsheets/d/1FoJPr4VzSwNU02fwkNVdEBVT4Tlw9m5VX4GQT2cAjjY/edit?resourcekey=&amp;gid=580478337#gid=580478337"",""REKAP JAWABAN!P43"")"),"Z09.8;K01.1;E11.9;K05.2;I10;Tidak")</f>
        <v>Z09.8;K01.1;E11.9;K05.2;I10;Tidak</v>
      </c>
      <c r="O10" s="119" t="str">
        <f>IFERROR(__xludf.DUMMYFUNCTION("IMPORTRANGE(""https://docs.google.com/spreadsheets/d/1FoJPr4VzSwNU02fwkNVdEBVT4Tlw9m5VX4GQT2cAjjY/edit?resourcekey=&amp;gid=580478337#gid=580478337"",""REKAP JAWABAN!Q43"")"),"H26.1;W20.09;E11.9;i10;Tidak")</f>
        <v>H26.1;W20.09;E11.9;i10;Tidak</v>
      </c>
      <c r="P10" s="119" t="str">
        <f>IFERROR(__xludf.DUMMYFUNCTION("IMPORTRANGE(""https://docs.google.com/spreadsheets/d/1FoJPr4VzSwNU02fwkNVdEBVT4Tlw9m5VX4GQT2cAjjY/edit?resourcekey=&amp;gid=580478337#gid=580478337"",""REKAP JAWABAN!R43"")"),"I63.0")</f>
        <v>I63.0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120" t="s">
        <v>231</v>
      </c>
      <c r="B11" s="121">
        <f>IFERROR(__xludf.DUMMYFUNCTION("IMPORTRANGE(""https://docs.google.com/spreadsheets/d/1FoJPr4VzSwNU02fwkNVdEBVT4Tlw9m5VX4GQT2cAjjY/edit?resourcekey=&amp;gid=580478337#gid=580478337"",""REKAP JAWABAN!D44"")"),62.0)</f>
        <v>62</v>
      </c>
      <c r="C11" s="122">
        <f t="shared" si="1"/>
        <v>20</v>
      </c>
      <c r="D11" s="117">
        <f t="shared" si="2"/>
        <v>82</v>
      </c>
      <c r="E11" s="123"/>
      <c r="F11" s="114" t="s">
        <v>231</v>
      </c>
      <c r="G11" s="119" t="str">
        <f>IFERROR(__xludf.DUMMYFUNCTION("IMPORTRANGE(""https://docs.google.com/spreadsheets/d/1FoJPr4VzSwNU02fwkNVdEBVT4Tlw9m5VX4GQT2cAjjY/edit?resourcekey=&amp;gid=580478337#gid=580478337"",""REKAP JAWABAN!I44"")"),"I50.9;R57.0;L03.1;i82.8;N18.5;I47.2;R60.1;D69.6")</f>
        <v>I50.9;R57.0;L03.1;i82.8;N18.5;I47.2;R60.1;D69.6</v>
      </c>
      <c r="H11" s="119" t="str">
        <f>IFERROR(__xludf.DUMMYFUNCTION("IMPORTRANGE(""https://docs.google.com/spreadsheets/d/1FoJPr4VzSwNU02fwkNVdEBVT4Tlw9m5VX4GQT2cAjjY/edit?resourcekey=&amp;gid=580478337#gid=580478337"",""REKAP JAWABAN!J44"")"),"C61;J96.0;J18.9;A41.5;I12.0;D63.0;TIDAKADA")</f>
        <v>C61;J96.0;J18.9;A41.5;I12.0;D63.0;TIDAKADA</v>
      </c>
      <c r="I11" s="119" t="str">
        <f>IFERROR(__xludf.DUMMYFUNCTION("IMPORTRANGE(""https://docs.google.com/spreadsheets/d/1FoJPr4VzSwNU02fwkNVdEBVT4Tlw9m5VX4GQT2cAjjY/edit?resourcekey=&amp;gid=580478337#gid=580478337"",""REKAP JAWABAN!K44"")"),"O14.1;O42.0;O24.1;O60.3;O82.9;Z37.0")</f>
        <v>O14.1;O42.0;O24.1;O60.3;O82.9;Z37.0</v>
      </c>
      <c r="J11" s="119" t="str">
        <f>IFERROR(__xludf.DUMMYFUNCTION("IMPORTRANGE(""https://docs.google.com/spreadsheets/d/1FoJPr4VzSwNU02fwkNVdEBVT4Tlw9m5VX4GQT2cAjjY/edit?resourcekey=&amp;gid=580478337#gid=580478337"",""REKAP JAWABAN!L44"")"),"I12.0;J81;N18.5;D63.8;T80.2;E10.9;I50.0;TIDAKADA")</f>
        <v>I12.0;J81;N18.5;D63.8;T80.2;E10.9;I50.0;TIDAKADA</v>
      </c>
      <c r="K11" s="119" t="str">
        <f>IFERROR(__xludf.DUMMYFUNCTION("IMPORTRANGE(""https://docs.google.com/spreadsheets/d/1FoJPr4VzSwNU02fwkNVdEBVT4Tlw9m5VX4GQT2cAjjY/edit?resourcekey=&amp;gid=580478337#gid=580478337"",""REKAP JAWABAN!M44"")"),"I63.5;I66.2;G81.9")</f>
        <v>I63.5;I66.2;G81.9</v>
      </c>
      <c r="L11" s="119" t="str">
        <f>IFERROR(__xludf.DUMMYFUNCTION("IMPORTRANGE(""https://docs.google.com/spreadsheets/d/1FoJPr4VzSwNU02fwkNVdEBVT4Tlw9m5VX4GQT2cAjjY/edit?resourcekey=&amp;gid=580478337#gid=580478337"",""REKAP JAWABAN!N44"")"),"T83.1;N20.0;N20.1;N21.0;N39.0;TIDAKADA")</f>
        <v>T83.1;N20.0;N20.1;N21.0;N39.0;TIDAKADA</v>
      </c>
      <c r="M11" s="119" t="str">
        <f>IFERROR(__xludf.DUMMYFUNCTION("IMPORTRANGE(""https://docs.google.com/spreadsheets/d/1FoJPr4VzSwNU02fwkNVdEBVT4Tlw9m5VX4GQT2cAjjY/edit?resourcekey=&amp;gid=580478337#gid=580478337"",""REKAP JAWABAN!O44"")"),"A15.10;J93.8;J47;U83.3")</f>
        <v>A15.10;J93.8;J47;U83.3</v>
      </c>
      <c r="N11" s="119" t="str">
        <f>IFERROR(__xludf.DUMMYFUNCTION("IMPORTRANGE(""https://docs.google.com/spreadsheets/d/1FoJPr4VzSwNU02fwkNVdEBVT4Tlw9m5VX4GQT2cAjjY/edit?resourcekey=&amp;gid=580478337#gid=580478337"",""REKAP JAWABAN!P44"")"),"Z71.9;K01.17;E11.9;K05.4;I10;TIDAKADA")</f>
        <v>Z71.9;K01.17;E11.9;K05.4;I10;TIDAKADA</v>
      </c>
      <c r="O11" s="119" t="str">
        <f>IFERROR(__xludf.DUMMYFUNCTION("IMPORTRANGE(""https://docs.google.com/spreadsheets/d/1FoJPr4VzSwNU02fwkNVdEBVT4Tlw9m5VX4GQT2cAjjY/edit?resourcekey=&amp;gid=580478337#gid=580478337"",""REKAP JAWABAN!Q44"")"),"H26.1;W20.09;E11.9;I10;TIDAKADA")</f>
        <v>H26.1;W20.09;E11.9;I10;TIDAKADA</v>
      </c>
      <c r="P11" s="119" t="str">
        <f>IFERROR(__xludf.DUMMYFUNCTION("IMPORTRANGE(""https://docs.google.com/spreadsheets/d/1FoJPr4VzSwNU02fwkNVdEBVT4Tlw9m5VX4GQT2cAjjY/edit?resourcekey=&amp;gid=580478337#gid=580478337"",""REKAP JAWABAN!R44"")"),"I67.6")</f>
        <v>I67.6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124" t="s">
        <v>232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125" t="s">
        <v>128</v>
      </c>
      <c r="B15" s="125" t="s">
        <v>129</v>
      </c>
      <c r="C15" s="125" t="s">
        <v>130</v>
      </c>
      <c r="D15" s="126" t="s">
        <v>131</v>
      </c>
      <c r="E15" s="127" t="s">
        <v>132</v>
      </c>
      <c r="F15" s="128" t="s">
        <v>233</v>
      </c>
      <c r="G15" s="129" t="s">
        <v>134</v>
      </c>
      <c r="H15" s="129" t="s">
        <v>11</v>
      </c>
      <c r="I15" s="129" t="s">
        <v>12</v>
      </c>
      <c r="J15" s="129" t="s">
        <v>13</v>
      </c>
      <c r="K15" s="94"/>
      <c r="L15" s="94"/>
      <c r="M15" s="94"/>
      <c r="N15" s="9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40">
        <v>1.0</v>
      </c>
      <c r="B16" s="16">
        <v>5.0</v>
      </c>
      <c r="C16" s="42">
        <f t="shared" ref="C16:C45" si="3">IF(B16=1,$D$6,IF(B16=2,$D$7,IF(B16=3,$D$8,IF(B16=4,$D$9,IF(B16=5, $D$10,IF(B16=6,$D$11))))))</f>
        <v>81</v>
      </c>
      <c r="D16" s="130">
        <v>0.0</v>
      </c>
      <c r="E16" s="131">
        <f t="shared" ref="E16:E45" si="4">C16+D16</f>
        <v>81</v>
      </c>
      <c r="F16" s="132"/>
      <c r="G16" s="133" t="s">
        <v>20</v>
      </c>
      <c r="H16" s="133" t="s">
        <v>21</v>
      </c>
      <c r="I16" s="134" t="s">
        <v>6</v>
      </c>
      <c r="J16" s="135" t="s">
        <v>22</v>
      </c>
      <c r="K16" s="94"/>
      <c r="L16" s="94"/>
      <c r="M16" s="94"/>
      <c r="N16" s="9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40">
        <v>2.0</v>
      </c>
      <c r="B17" s="16">
        <v>3.0</v>
      </c>
      <c r="C17" s="58">
        <f t="shared" si="3"/>
        <v>80</v>
      </c>
      <c r="D17" s="136">
        <v>1.0</v>
      </c>
      <c r="E17" s="137">
        <f t="shared" si="4"/>
        <v>81</v>
      </c>
      <c r="F17" s="136" t="s">
        <v>234</v>
      </c>
      <c r="G17" s="133" t="s">
        <v>24</v>
      </c>
      <c r="H17" s="133" t="s">
        <v>25</v>
      </c>
      <c r="I17" s="134" t="s">
        <v>3</v>
      </c>
      <c r="J17" s="135" t="s">
        <v>26</v>
      </c>
      <c r="K17" s="94"/>
      <c r="L17" s="94"/>
      <c r="M17" s="94"/>
      <c r="N17" s="9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40">
        <v>3.0</v>
      </c>
      <c r="B18" s="16">
        <v>1.0</v>
      </c>
      <c r="C18" s="42">
        <f t="shared" si="3"/>
        <v>81</v>
      </c>
      <c r="D18" s="138">
        <v>1.0</v>
      </c>
      <c r="E18" s="131">
        <f t="shared" si="4"/>
        <v>82</v>
      </c>
      <c r="F18" s="132"/>
      <c r="G18" s="133" t="s">
        <v>28</v>
      </c>
      <c r="H18" s="133" t="s">
        <v>29</v>
      </c>
      <c r="I18" s="134" t="s">
        <v>3</v>
      </c>
      <c r="J18" s="133" t="s">
        <v>30</v>
      </c>
      <c r="K18" s="94"/>
      <c r="L18" s="94"/>
      <c r="M18" s="94"/>
      <c r="N18" s="94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40">
        <v>4.0</v>
      </c>
      <c r="B19" s="16">
        <v>2.0</v>
      </c>
      <c r="C19" s="58">
        <f t="shared" si="3"/>
        <v>80</v>
      </c>
      <c r="D19" s="139">
        <v>3.0</v>
      </c>
      <c r="E19" s="137">
        <f t="shared" si="4"/>
        <v>83</v>
      </c>
      <c r="F19" s="136" t="s">
        <v>235</v>
      </c>
      <c r="G19" s="133" t="s">
        <v>32</v>
      </c>
      <c r="H19" s="133" t="s">
        <v>33</v>
      </c>
      <c r="I19" s="134" t="s">
        <v>6</v>
      </c>
      <c r="J19" s="135" t="s">
        <v>30</v>
      </c>
      <c r="K19" s="94"/>
      <c r="L19" s="94"/>
      <c r="M19" s="94"/>
      <c r="N19" s="9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40">
        <v>5.0</v>
      </c>
      <c r="B20" s="16">
        <v>5.0</v>
      </c>
      <c r="C20" s="42">
        <f t="shared" si="3"/>
        <v>81</v>
      </c>
      <c r="D20" s="138">
        <v>3.0</v>
      </c>
      <c r="E20" s="131">
        <f t="shared" si="4"/>
        <v>84</v>
      </c>
      <c r="F20" s="130" t="s">
        <v>236</v>
      </c>
      <c r="G20" s="133" t="s">
        <v>35</v>
      </c>
      <c r="H20" s="133" t="s">
        <v>36</v>
      </c>
      <c r="I20" s="134" t="s">
        <v>6</v>
      </c>
      <c r="J20" s="135" t="s">
        <v>30</v>
      </c>
      <c r="K20" s="94"/>
      <c r="L20" s="94"/>
      <c r="M20" s="94"/>
      <c r="N20" s="94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75" customHeight="1">
      <c r="A21" s="40">
        <v>6.0</v>
      </c>
      <c r="B21" s="16">
        <v>5.0</v>
      </c>
      <c r="C21" s="58">
        <f t="shared" si="3"/>
        <v>81</v>
      </c>
      <c r="D21" s="139">
        <v>4.0</v>
      </c>
      <c r="E21" s="137">
        <f t="shared" si="4"/>
        <v>85</v>
      </c>
      <c r="F21" s="136" t="s">
        <v>237</v>
      </c>
      <c r="G21" s="133" t="s">
        <v>38</v>
      </c>
      <c r="H21" s="133" t="s">
        <v>39</v>
      </c>
      <c r="I21" s="134" t="s">
        <v>2</v>
      </c>
      <c r="J21" s="133" t="s">
        <v>40</v>
      </c>
      <c r="K21" s="94"/>
      <c r="L21" s="94"/>
      <c r="M21" s="94"/>
      <c r="N21" s="94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5.75" customHeight="1">
      <c r="A22" s="40">
        <v>7.0</v>
      </c>
      <c r="B22" s="16">
        <v>6.0</v>
      </c>
      <c r="C22" s="42">
        <f t="shared" si="3"/>
        <v>82</v>
      </c>
      <c r="D22" s="138">
        <v>2.0</v>
      </c>
      <c r="E22" s="131">
        <f t="shared" si="4"/>
        <v>84</v>
      </c>
      <c r="F22" s="130" t="s">
        <v>151</v>
      </c>
      <c r="G22" s="133" t="s">
        <v>42</v>
      </c>
      <c r="H22" s="133" t="s">
        <v>43</v>
      </c>
      <c r="I22" s="134" t="s">
        <v>6</v>
      </c>
      <c r="J22" s="133" t="s">
        <v>40</v>
      </c>
      <c r="K22" s="94"/>
      <c r="L22" s="94"/>
      <c r="M22" s="94"/>
      <c r="N22" s="94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5.75" customHeight="1">
      <c r="A23" s="40">
        <v>8.0</v>
      </c>
      <c r="B23" s="16">
        <v>2.0</v>
      </c>
      <c r="C23" s="58">
        <f t="shared" si="3"/>
        <v>80</v>
      </c>
      <c r="D23" s="139">
        <v>2.0</v>
      </c>
      <c r="E23" s="137">
        <f t="shared" si="4"/>
        <v>82</v>
      </c>
      <c r="F23" s="136" t="s">
        <v>234</v>
      </c>
      <c r="G23" s="133" t="s">
        <v>45</v>
      </c>
      <c r="H23" s="133" t="s">
        <v>46</v>
      </c>
      <c r="I23" s="134" t="s">
        <v>3</v>
      </c>
      <c r="J23" s="133" t="s">
        <v>47</v>
      </c>
      <c r="K23" s="94"/>
      <c r="L23" s="94"/>
      <c r="M23" s="94"/>
      <c r="N23" s="94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75" customHeight="1">
      <c r="A24" s="40">
        <v>9.0</v>
      </c>
      <c r="B24" s="16">
        <v>4.0</v>
      </c>
      <c r="C24" s="42">
        <f t="shared" si="3"/>
        <v>81</v>
      </c>
      <c r="D24" s="138">
        <v>4.0</v>
      </c>
      <c r="E24" s="131">
        <f t="shared" si="4"/>
        <v>85</v>
      </c>
      <c r="F24" s="130" t="s">
        <v>238</v>
      </c>
      <c r="G24" s="133" t="s">
        <v>49</v>
      </c>
      <c r="H24" s="133" t="s">
        <v>50</v>
      </c>
      <c r="I24" s="134" t="s">
        <v>4</v>
      </c>
      <c r="J24" s="135" t="s">
        <v>30</v>
      </c>
      <c r="K24" s="94"/>
      <c r="L24" s="94"/>
      <c r="M24" s="94"/>
      <c r="N24" s="9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5.75" customHeight="1">
      <c r="A25" s="40">
        <v>10.0</v>
      </c>
      <c r="B25" s="16">
        <v>6.0</v>
      </c>
      <c r="C25" s="58">
        <f t="shared" si="3"/>
        <v>82</v>
      </c>
      <c r="D25" s="139">
        <v>2.0</v>
      </c>
      <c r="E25" s="137">
        <f t="shared" si="4"/>
        <v>84</v>
      </c>
      <c r="F25" s="136" t="s">
        <v>239</v>
      </c>
      <c r="G25" s="133" t="s">
        <v>52</v>
      </c>
      <c r="H25" s="133" t="s">
        <v>53</v>
      </c>
      <c r="I25" s="134" t="s">
        <v>6</v>
      </c>
      <c r="J25" s="133" t="s">
        <v>30</v>
      </c>
      <c r="K25" s="94"/>
      <c r="L25" s="94"/>
      <c r="M25" s="94"/>
      <c r="N25" s="94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5.75" customHeight="1">
      <c r="A26" s="40">
        <v>11.0</v>
      </c>
      <c r="B26" s="16">
        <v>4.0</v>
      </c>
      <c r="C26" s="42">
        <f t="shared" si="3"/>
        <v>81</v>
      </c>
      <c r="D26" s="138">
        <v>1.0</v>
      </c>
      <c r="E26" s="131">
        <f t="shared" si="4"/>
        <v>82</v>
      </c>
      <c r="F26" s="130" t="s">
        <v>151</v>
      </c>
      <c r="G26" s="133" t="s">
        <v>55</v>
      </c>
      <c r="H26" s="133" t="s">
        <v>56</v>
      </c>
      <c r="I26" s="134" t="s">
        <v>5</v>
      </c>
      <c r="J26" s="133" t="s">
        <v>22</v>
      </c>
      <c r="K26" s="94"/>
      <c r="L26" s="94"/>
      <c r="M26" s="94"/>
      <c r="N26" s="9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75" customHeight="1">
      <c r="A27" s="40">
        <v>12.0</v>
      </c>
      <c r="B27" s="16">
        <v>5.0</v>
      </c>
      <c r="C27" s="58">
        <f t="shared" si="3"/>
        <v>81</v>
      </c>
      <c r="D27" s="139">
        <v>8.0</v>
      </c>
      <c r="E27" s="137">
        <f t="shared" si="4"/>
        <v>89</v>
      </c>
      <c r="F27" s="136" t="s">
        <v>240</v>
      </c>
      <c r="G27" s="133" t="s">
        <v>58</v>
      </c>
      <c r="H27" s="133" t="s">
        <v>59</v>
      </c>
      <c r="I27" s="134" t="s">
        <v>2</v>
      </c>
      <c r="J27" s="135" t="s">
        <v>40</v>
      </c>
      <c r="K27" s="94"/>
      <c r="L27" s="94"/>
      <c r="M27" s="94"/>
      <c r="N27" s="9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5.75" customHeight="1">
      <c r="A28" s="40">
        <v>13.0</v>
      </c>
      <c r="B28" s="16">
        <v>4.0</v>
      </c>
      <c r="C28" s="42">
        <f t="shared" si="3"/>
        <v>81</v>
      </c>
      <c r="D28" s="138">
        <v>3.0</v>
      </c>
      <c r="E28" s="131">
        <f t="shared" si="4"/>
        <v>84</v>
      </c>
      <c r="F28" s="130" t="s">
        <v>235</v>
      </c>
      <c r="G28" s="133" t="s">
        <v>61</v>
      </c>
      <c r="H28" s="133" t="s">
        <v>62</v>
      </c>
      <c r="I28" s="134" t="s">
        <v>6</v>
      </c>
      <c r="J28" s="133" t="s">
        <v>22</v>
      </c>
      <c r="K28" s="94"/>
      <c r="L28" s="94"/>
      <c r="M28" s="94"/>
      <c r="N28" s="9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5.75" customHeight="1">
      <c r="A29" s="40">
        <v>14.0</v>
      </c>
      <c r="B29" s="16">
        <v>1.0</v>
      </c>
      <c r="C29" s="58">
        <f t="shared" si="3"/>
        <v>81</v>
      </c>
      <c r="D29" s="139">
        <v>3.0</v>
      </c>
      <c r="E29" s="137">
        <f t="shared" si="4"/>
        <v>84</v>
      </c>
      <c r="F29" s="136" t="s">
        <v>234</v>
      </c>
      <c r="G29" s="133" t="s">
        <v>64</v>
      </c>
      <c r="H29" s="133" t="s">
        <v>65</v>
      </c>
      <c r="I29" s="134" t="s">
        <v>3</v>
      </c>
      <c r="J29" s="135" t="s">
        <v>30</v>
      </c>
      <c r="K29" s="94"/>
      <c r="L29" s="94"/>
      <c r="M29" s="94"/>
      <c r="N29" s="9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75" customHeight="1">
      <c r="A30" s="40">
        <v>15.0</v>
      </c>
      <c r="B30" s="16">
        <v>2.0</v>
      </c>
      <c r="C30" s="42">
        <f t="shared" si="3"/>
        <v>80</v>
      </c>
      <c r="D30" s="138">
        <v>1.0</v>
      </c>
      <c r="E30" s="131">
        <f t="shared" si="4"/>
        <v>81</v>
      </c>
      <c r="F30" s="130" t="s">
        <v>239</v>
      </c>
      <c r="G30" s="133" t="s">
        <v>67</v>
      </c>
      <c r="H30" s="133" t="s">
        <v>68</v>
      </c>
      <c r="I30" s="134" t="s">
        <v>6</v>
      </c>
      <c r="J30" s="133" t="s">
        <v>47</v>
      </c>
      <c r="K30" s="94"/>
      <c r="L30" s="94"/>
      <c r="M30" s="94"/>
      <c r="N30" s="9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5.75" customHeight="1">
      <c r="A31" s="40">
        <v>16.0</v>
      </c>
      <c r="B31" s="16">
        <v>3.0</v>
      </c>
      <c r="C31" s="58">
        <f t="shared" si="3"/>
        <v>80</v>
      </c>
      <c r="D31" s="139">
        <v>5.0</v>
      </c>
      <c r="E31" s="137">
        <f t="shared" si="4"/>
        <v>85</v>
      </c>
      <c r="F31" s="136" t="s">
        <v>172</v>
      </c>
      <c r="G31" s="133" t="s">
        <v>70</v>
      </c>
      <c r="H31" s="133" t="s">
        <v>71</v>
      </c>
      <c r="I31" s="134" t="s">
        <v>6</v>
      </c>
      <c r="J31" s="133" t="s">
        <v>72</v>
      </c>
      <c r="K31" s="94"/>
      <c r="L31" s="94"/>
      <c r="M31" s="94"/>
      <c r="N31" s="9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5.75" customHeight="1">
      <c r="A32" s="40">
        <v>17.0</v>
      </c>
      <c r="B32" s="16">
        <v>4.0</v>
      </c>
      <c r="C32" s="88">
        <f t="shared" si="3"/>
        <v>81</v>
      </c>
      <c r="D32" s="140">
        <v>1.0</v>
      </c>
      <c r="E32" s="141">
        <f t="shared" si="4"/>
        <v>82</v>
      </c>
      <c r="F32" s="142" t="s">
        <v>151</v>
      </c>
      <c r="G32" s="133" t="s">
        <v>74</v>
      </c>
      <c r="H32" s="133" t="s">
        <v>75</v>
      </c>
      <c r="I32" s="134" t="s">
        <v>6</v>
      </c>
      <c r="J32" s="133" t="s">
        <v>47</v>
      </c>
      <c r="K32" s="94"/>
      <c r="L32" s="94"/>
      <c r="M32" s="94"/>
      <c r="N32" s="9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75" customHeight="1">
      <c r="A33" s="40">
        <v>18.0</v>
      </c>
      <c r="B33" s="16">
        <v>6.0</v>
      </c>
      <c r="C33" s="88">
        <f t="shared" si="3"/>
        <v>82</v>
      </c>
      <c r="D33" s="140">
        <v>5.0</v>
      </c>
      <c r="E33" s="141">
        <f t="shared" si="4"/>
        <v>87</v>
      </c>
      <c r="F33" s="142" t="s">
        <v>241</v>
      </c>
      <c r="G33" s="133" t="s">
        <v>77</v>
      </c>
      <c r="H33" s="133" t="s">
        <v>78</v>
      </c>
      <c r="I33" s="134" t="s">
        <v>3</v>
      </c>
      <c r="J33" s="135" t="s">
        <v>40</v>
      </c>
      <c r="K33" s="94"/>
      <c r="L33" s="94"/>
      <c r="M33" s="94"/>
      <c r="N33" s="9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5.75" customHeight="1">
      <c r="A34" s="40">
        <v>19.0</v>
      </c>
      <c r="B34" s="16">
        <v>3.0</v>
      </c>
      <c r="C34" s="88">
        <f t="shared" si="3"/>
        <v>80</v>
      </c>
      <c r="D34" s="140">
        <v>2.0</v>
      </c>
      <c r="E34" s="141">
        <f t="shared" si="4"/>
        <v>82</v>
      </c>
      <c r="F34" s="142" t="s">
        <v>151</v>
      </c>
      <c r="G34" s="133" t="s">
        <v>80</v>
      </c>
      <c r="H34" s="133" t="s">
        <v>81</v>
      </c>
      <c r="I34" s="134" t="s">
        <v>6</v>
      </c>
      <c r="J34" s="135" t="s">
        <v>40</v>
      </c>
      <c r="K34" s="94"/>
      <c r="L34" s="94"/>
      <c r="M34" s="94"/>
      <c r="N34" s="9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5.75" customHeight="1">
      <c r="A35" s="40">
        <v>20.0</v>
      </c>
      <c r="B35" s="16">
        <v>6.0</v>
      </c>
      <c r="C35" s="88">
        <f t="shared" si="3"/>
        <v>82</v>
      </c>
      <c r="D35" s="140">
        <v>1.0</v>
      </c>
      <c r="E35" s="141">
        <f t="shared" si="4"/>
        <v>83</v>
      </c>
      <c r="F35" s="142" t="s">
        <v>151</v>
      </c>
      <c r="G35" s="133" t="s">
        <v>83</v>
      </c>
      <c r="H35" s="133" t="s">
        <v>84</v>
      </c>
      <c r="I35" s="134" t="s">
        <v>6</v>
      </c>
      <c r="J35" s="133" t="s">
        <v>30</v>
      </c>
      <c r="K35" s="94"/>
      <c r="L35" s="94"/>
      <c r="M35" s="94"/>
      <c r="N35" s="9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5.75" customHeight="1">
      <c r="A36" s="40">
        <v>21.0</v>
      </c>
      <c r="B36" s="16">
        <v>4.0</v>
      </c>
      <c r="C36" s="88">
        <f t="shared" si="3"/>
        <v>81</v>
      </c>
      <c r="D36" s="140">
        <v>4.0</v>
      </c>
      <c r="E36" s="141">
        <f t="shared" si="4"/>
        <v>85</v>
      </c>
      <c r="F36" s="142" t="s">
        <v>242</v>
      </c>
      <c r="G36" s="133" t="s">
        <v>86</v>
      </c>
      <c r="H36" s="133" t="s">
        <v>87</v>
      </c>
      <c r="I36" s="134" t="s">
        <v>6</v>
      </c>
      <c r="J36" s="135" t="s">
        <v>72</v>
      </c>
      <c r="K36" s="94"/>
      <c r="L36" s="94"/>
      <c r="M36" s="94"/>
      <c r="N36" s="9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5.75" customHeight="1">
      <c r="A37" s="40">
        <v>22.0</v>
      </c>
      <c r="B37" s="16">
        <v>1.0</v>
      </c>
      <c r="C37" s="88">
        <f t="shared" si="3"/>
        <v>81</v>
      </c>
      <c r="D37" s="140">
        <v>2.0</v>
      </c>
      <c r="E37" s="141">
        <f t="shared" si="4"/>
        <v>83</v>
      </c>
      <c r="F37" s="142" t="s">
        <v>151</v>
      </c>
      <c r="G37" s="133" t="s">
        <v>89</v>
      </c>
      <c r="H37" s="133" t="s">
        <v>90</v>
      </c>
      <c r="I37" s="134" t="s">
        <v>6</v>
      </c>
      <c r="J37" s="133" t="s">
        <v>47</v>
      </c>
      <c r="K37" s="94"/>
      <c r="L37" s="94"/>
      <c r="M37" s="94"/>
      <c r="N37" s="9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75" customHeight="1">
      <c r="A38" s="40">
        <v>23.0</v>
      </c>
      <c r="B38" s="16">
        <v>2.0</v>
      </c>
      <c r="C38" s="88">
        <f t="shared" si="3"/>
        <v>80</v>
      </c>
      <c r="D38" s="140">
        <v>1.0</v>
      </c>
      <c r="E38" s="141">
        <f t="shared" si="4"/>
        <v>81</v>
      </c>
      <c r="F38" s="142" t="s">
        <v>243</v>
      </c>
      <c r="G38" s="133" t="s">
        <v>92</v>
      </c>
      <c r="H38" s="133" t="s">
        <v>93</v>
      </c>
      <c r="I38" s="134" t="s">
        <v>6</v>
      </c>
      <c r="J38" s="133" t="s">
        <v>94</v>
      </c>
      <c r="K38" s="94"/>
      <c r="L38" s="94"/>
      <c r="M38" s="94"/>
      <c r="N38" s="9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5.75" customHeight="1">
      <c r="A39" s="40">
        <v>24.0</v>
      </c>
      <c r="B39" s="16">
        <v>1.0</v>
      </c>
      <c r="C39" s="88">
        <f t="shared" si="3"/>
        <v>81</v>
      </c>
      <c r="D39" s="140">
        <v>2.0</v>
      </c>
      <c r="E39" s="141">
        <f t="shared" si="4"/>
        <v>83</v>
      </c>
      <c r="F39" s="142" t="s">
        <v>151</v>
      </c>
      <c r="G39" s="133" t="s">
        <v>96</v>
      </c>
      <c r="H39" s="133" t="s">
        <v>97</v>
      </c>
      <c r="I39" s="134" t="s">
        <v>6</v>
      </c>
      <c r="J39" s="133" t="s">
        <v>98</v>
      </c>
      <c r="K39" s="94"/>
      <c r="L39" s="94"/>
      <c r="M39" s="94"/>
      <c r="N39" s="9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5.75" customHeight="1">
      <c r="A40" s="40">
        <v>25.0</v>
      </c>
      <c r="B40" s="16">
        <v>5.0</v>
      </c>
      <c r="C40" s="88">
        <f t="shared" si="3"/>
        <v>81</v>
      </c>
      <c r="D40" s="140">
        <v>1.0</v>
      </c>
      <c r="E40" s="141">
        <f t="shared" si="4"/>
        <v>82</v>
      </c>
      <c r="F40" s="142" t="s">
        <v>151</v>
      </c>
      <c r="G40" s="133" t="s">
        <v>100</v>
      </c>
      <c r="H40" s="133" t="s">
        <v>101</v>
      </c>
      <c r="I40" s="134" t="s">
        <v>2</v>
      </c>
      <c r="J40" s="135" t="s">
        <v>40</v>
      </c>
      <c r="K40" s="94"/>
      <c r="L40" s="94"/>
      <c r="M40" s="94"/>
      <c r="N40" s="9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75" customHeight="1">
      <c r="A41" s="40">
        <v>26.0</v>
      </c>
      <c r="B41" s="16">
        <v>1.0</v>
      </c>
      <c r="C41" s="88">
        <f t="shared" si="3"/>
        <v>81</v>
      </c>
      <c r="D41" s="140">
        <v>6.0</v>
      </c>
      <c r="E41" s="141">
        <f t="shared" si="4"/>
        <v>87</v>
      </c>
      <c r="F41" s="142" t="s">
        <v>244</v>
      </c>
      <c r="G41" s="133" t="s">
        <v>103</v>
      </c>
      <c r="H41" s="133" t="s">
        <v>104</v>
      </c>
      <c r="I41" s="134" t="s">
        <v>5</v>
      </c>
      <c r="J41" s="135" t="s">
        <v>30</v>
      </c>
      <c r="K41" s="94"/>
      <c r="L41" s="94"/>
      <c r="M41" s="94"/>
      <c r="N41" s="9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5.75" customHeight="1">
      <c r="A42" s="40">
        <v>27.0</v>
      </c>
      <c r="B42" s="16">
        <v>6.0</v>
      </c>
      <c r="C42" s="88">
        <f t="shared" si="3"/>
        <v>82</v>
      </c>
      <c r="D42" s="140">
        <v>2.0</v>
      </c>
      <c r="E42" s="141">
        <f t="shared" si="4"/>
        <v>84</v>
      </c>
      <c r="F42" s="142" t="s">
        <v>151</v>
      </c>
      <c r="G42" s="133" t="s">
        <v>106</v>
      </c>
      <c r="H42" s="133" t="s">
        <v>107</v>
      </c>
      <c r="I42" s="134" t="s">
        <v>5</v>
      </c>
      <c r="J42" s="133" t="s">
        <v>30</v>
      </c>
      <c r="K42" s="94"/>
      <c r="L42" s="94"/>
      <c r="M42" s="94"/>
      <c r="N42" s="94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40">
        <v>28.0</v>
      </c>
      <c r="B43" s="16">
        <v>3.0</v>
      </c>
      <c r="C43" s="88">
        <f t="shared" si="3"/>
        <v>80</v>
      </c>
      <c r="D43" s="140">
        <v>6.0</v>
      </c>
      <c r="E43" s="141">
        <f t="shared" si="4"/>
        <v>86</v>
      </c>
      <c r="F43" s="142" t="s">
        <v>245</v>
      </c>
      <c r="G43" s="133" t="s">
        <v>109</v>
      </c>
      <c r="H43" s="133" t="s">
        <v>110</v>
      </c>
      <c r="I43" s="134" t="s">
        <v>6</v>
      </c>
      <c r="J43" s="133" t="s">
        <v>30</v>
      </c>
      <c r="K43" s="94"/>
      <c r="L43" s="94"/>
      <c r="M43" s="94"/>
      <c r="N43" s="94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75" customHeight="1">
      <c r="A44" s="40">
        <v>29.0</v>
      </c>
      <c r="B44" s="16">
        <v>3.0</v>
      </c>
      <c r="C44" s="88">
        <f t="shared" si="3"/>
        <v>80</v>
      </c>
      <c r="D44" s="140">
        <v>2.0</v>
      </c>
      <c r="E44" s="141">
        <f t="shared" si="4"/>
        <v>82</v>
      </c>
      <c r="F44" s="142" t="s">
        <v>151</v>
      </c>
      <c r="G44" s="133" t="s">
        <v>112</v>
      </c>
      <c r="H44" s="133" t="s">
        <v>113</v>
      </c>
      <c r="I44" s="134" t="s">
        <v>6</v>
      </c>
      <c r="J44" s="135" t="s">
        <v>40</v>
      </c>
      <c r="K44" s="94"/>
      <c r="L44" s="94"/>
      <c r="M44" s="94"/>
      <c r="N44" s="94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5.75" customHeight="1">
      <c r="A45" s="40">
        <v>30.0</v>
      </c>
      <c r="B45" s="16">
        <v>2.0</v>
      </c>
      <c r="C45" s="88">
        <f t="shared" si="3"/>
        <v>80</v>
      </c>
      <c r="D45" s="140">
        <v>1.0</v>
      </c>
      <c r="E45" s="141">
        <f t="shared" si="4"/>
        <v>81</v>
      </c>
      <c r="F45" s="142" t="s">
        <v>151</v>
      </c>
      <c r="G45" s="133" t="s">
        <v>115</v>
      </c>
      <c r="H45" s="133" t="s">
        <v>116</v>
      </c>
      <c r="I45" s="134" t="s">
        <v>6</v>
      </c>
      <c r="J45" s="133" t="s">
        <v>72</v>
      </c>
      <c r="K45" s="94"/>
      <c r="L45" s="94"/>
      <c r="M45" s="94"/>
      <c r="N45" s="94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5.75" customHeight="1">
      <c r="A46" s="27"/>
      <c r="B46" s="143"/>
      <c r="C46" s="143"/>
      <c r="D46" s="143"/>
      <c r="E46" s="143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75" customHeight="1">
      <c r="A47" s="39" t="s">
        <v>246</v>
      </c>
      <c r="B47" s="143"/>
      <c r="C47" s="143"/>
      <c r="D47" s="143"/>
      <c r="E47" s="92"/>
      <c r="F47" s="144"/>
      <c r="G47" s="92"/>
      <c r="H47" s="14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5.75" customHeight="1">
      <c r="A48" s="39" t="s">
        <v>247</v>
      </c>
      <c r="B48" s="143"/>
      <c r="C48" s="143"/>
      <c r="D48" s="143"/>
      <c r="E48" s="92"/>
      <c r="F48" s="144"/>
      <c r="G48" s="92"/>
      <c r="H48" s="145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5.75" customHeight="1">
      <c r="A49" s="27"/>
      <c r="B49" s="143"/>
      <c r="C49" s="143"/>
      <c r="D49" s="143"/>
      <c r="E49" s="92"/>
      <c r="F49" s="144"/>
      <c r="G49" s="92"/>
      <c r="H49" s="14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75" customHeight="1">
      <c r="A50" s="39" t="s">
        <v>248</v>
      </c>
      <c r="B50" s="143"/>
      <c r="C50" s="143"/>
      <c r="D50" s="143"/>
      <c r="E50" s="92"/>
      <c r="F50" s="144"/>
      <c r="G50" s="92"/>
      <c r="H50" s="145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5.75" customHeight="1">
      <c r="A51" s="27"/>
      <c r="B51" s="143"/>
      <c r="C51" s="143"/>
      <c r="D51" s="143"/>
      <c r="E51" s="92"/>
      <c r="F51" s="144"/>
      <c r="G51" s="92"/>
      <c r="H51" s="14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5.75" customHeight="1">
      <c r="A52" s="27"/>
      <c r="B52" s="143"/>
      <c r="C52" s="143"/>
      <c r="D52" s="143"/>
      <c r="E52" s="92"/>
      <c r="F52" s="144"/>
      <c r="G52" s="92"/>
      <c r="H52" s="145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75" customHeight="1">
      <c r="A53" s="27"/>
      <c r="B53" s="143"/>
      <c r="C53" s="143"/>
      <c r="D53" s="143"/>
      <c r="E53" s="92"/>
      <c r="F53" s="144"/>
      <c r="G53" s="92"/>
      <c r="H53" s="14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5.75" customHeight="1">
      <c r="A54" s="27"/>
      <c r="B54" s="143"/>
      <c r="C54" s="143"/>
      <c r="D54" s="143"/>
      <c r="E54" s="92"/>
      <c r="F54" s="144"/>
      <c r="G54" s="92"/>
      <c r="H54" s="14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5.75" customHeight="1">
      <c r="A55" s="27"/>
      <c r="B55" s="143"/>
      <c r="C55" s="143"/>
      <c r="D55" s="143"/>
      <c r="E55" s="92"/>
      <c r="F55" s="144"/>
      <c r="G55" s="92"/>
      <c r="H55" s="145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75" customHeight="1">
      <c r="A56" s="27"/>
      <c r="B56" s="143"/>
      <c r="C56" s="143"/>
      <c r="D56" s="143"/>
      <c r="E56" s="92"/>
      <c r="F56" s="144"/>
      <c r="G56" s="92"/>
      <c r="H56" s="145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5.75" customHeight="1">
      <c r="A57" s="27"/>
      <c r="B57" s="143"/>
      <c r="C57" s="143"/>
      <c r="D57" s="143"/>
      <c r="E57" s="92"/>
      <c r="F57" s="144"/>
      <c r="G57" s="92"/>
      <c r="H57" s="14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5.75" customHeight="1">
      <c r="A58" s="27"/>
      <c r="B58" s="143"/>
      <c r="C58" s="143"/>
      <c r="D58" s="143"/>
      <c r="E58" s="92"/>
      <c r="F58" s="144"/>
      <c r="G58" s="92"/>
      <c r="H58" s="14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75" customHeight="1">
      <c r="A59" s="27"/>
      <c r="B59" s="143"/>
      <c r="C59" s="143"/>
      <c r="D59" s="143"/>
      <c r="E59" s="92"/>
      <c r="F59" s="144"/>
      <c r="G59" s="92"/>
      <c r="H59" s="14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5.75" customHeight="1">
      <c r="A60" s="27"/>
      <c r="B60" s="143"/>
      <c r="C60" s="143"/>
      <c r="D60" s="143"/>
      <c r="E60" s="92"/>
      <c r="F60" s="144"/>
      <c r="G60" s="92"/>
      <c r="H60" s="14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7"/>
      <c r="B61" s="143"/>
      <c r="C61" s="143"/>
      <c r="D61" s="143"/>
      <c r="E61" s="92"/>
      <c r="F61" s="144"/>
      <c r="G61" s="92"/>
      <c r="H61" s="14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75" customHeight="1">
      <c r="A62" s="27"/>
      <c r="B62" s="143"/>
      <c r="C62" s="143"/>
      <c r="D62" s="143"/>
      <c r="E62" s="92"/>
      <c r="F62" s="144"/>
      <c r="G62" s="92"/>
      <c r="H62" s="14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5.75" customHeight="1">
      <c r="A63" s="27"/>
      <c r="B63" s="143"/>
      <c r="C63" s="143"/>
      <c r="D63" s="143"/>
      <c r="E63" s="92"/>
      <c r="F63" s="144"/>
      <c r="G63" s="92"/>
      <c r="H63" s="145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5.75" customHeight="1">
      <c r="A64" s="27"/>
      <c r="B64" s="143"/>
      <c r="C64" s="143"/>
      <c r="D64" s="143"/>
      <c r="E64" s="92"/>
      <c r="F64" s="144"/>
      <c r="G64" s="92"/>
      <c r="H64" s="145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75" customHeight="1">
      <c r="A65" s="27"/>
      <c r="B65" s="143"/>
      <c r="C65" s="143"/>
      <c r="D65" s="143"/>
      <c r="E65" s="92"/>
      <c r="F65" s="144"/>
      <c r="G65" s="92"/>
      <c r="H65" s="145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5.75" customHeight="1">
      <c r="A66" s="27"/>
      <c r="B66" s="143"/>
      <c r="C66" s="143"/>
      <c r="D66" s="143"/>
      <c r="E66" s="92"/>
      <c r="F66" s="144"/>
      <c r="G66" s="92"/>
      <c r="H66" s="145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5.75" customHeight="1">
      <c r="A67" s="27"/>
      <c r="B67" s="143"/>
      <c r="C67" s="143"/>
      <c r="D67" s="143"/>
      <c r="E67" s="92"/>
      <c r="F67" s="144"/>
      <c r="G67" s="92"/>
      <c r="H67" s="145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75" customHeight="1">
      <c r="A68" s="27"/>
      <c r="B68" s="143"/>
      <c r="C68" s="143"/>
      <c r="D68" s="143"/>
      <c r="E68" s="92"/>
      <c r="F68" s="144"/>
      <c r="G68" s="92"/>
      <c r="H68" s="145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5.75" customHeight="1">
      <c r="A69" s="27"/>
      <c r="B69" s="143"/>
      <c r="C69" s="143"/>
      <c r="D69" s="143"/>
      <c r="E69" s="92"/>
      <c r="F69" s="144"/>
      <c r="G69" s="92"/>
      <c r="H69" s="145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5.75" customHeight="1">
      <c r="A70" s="27"/>
      <c r="B70" s="143"/>
      <c r="C70" s="143"/>
      <c r="D70" s="143"/>
      <c r="E70" s="92"/>
      <c r="F70" s="144"/>
      <c r="G70" s="92"/>
      <c r="H70" s="145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75" customHeight="1">
      <c r="A71" s="27"/>
      <c r="B71" s="143"/>
      <c r="C71" s="143"/>
      <c r="D71" s="143"/>
      <c r="E71" s="92"/>
      <c r="F71" s="144"/>
      <c r="G71" s="92"/>
      <c r="H71" s="145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5.75" customHeight="1">
      <c r="A72" s="27"/>
      <c r="B72" s="143"/>
      <c r="C72" s="143"/>
      <c r="D72" s="143"/>
      <c r="E72" s="92"/>
      <c r="F72" s="144"/>
      <c r="G72" s="92"/>
      <c r="H72" s="145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5.75" customHeight="1">
      <c r="A73" s="27"/>
      <c r="B73" s="143"/>
      <c r="C73" s="143"/>
      <c r="D73" s="143"/>
      <c r="E73" s="92"/>
      <c r="F73" s="144"/>
      <c r="G73" s="92"/>
      <c r="H73" s="145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5.75" customHeight="1">
      <c r="A74" s="27"/>
      <c r="B74" s="143"/>
      <c r="C74" s="143"/>
      <c r="D74" s="143"/>
      <c r="E74" s="92"/>
      <c r="F74" s="144"/>
      <c r="G74" s="92"/>
      <c r="H74" s="145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5.75" customHeight="1">
      <c r="A75" s="27"/>
      <c r="B75" s="143"/>
      <c r="C75" s="143"/>
      <c r="D75" s="143"/>
      <c r="E75" s="92"/>
      <c r="F75" s="144"/>
      <c r="G75" s="92"/>
      <c r="H75" s="145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5.75" customHeight="1">
      <c r="A76" s="27"/>
      <c r="B76" s="143"/>
      <c r="C76" s="143"/>
      <c r="D76" s="143"/>
      <c r="E76" s="92"/>
      <c r="F76" s="144"/>
      <c r="G76" s="92"/>
      <c r="H76" s="145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5.75" customHeight="1">
      <c r="A77" s="27"/>
      <c r="B77" s="143"/>
      <c r="C77" s="143"/>
      <c r="D77" s="143"/>
      <c r="E77" s="143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5.75" customHeight="1">
      <c r="A78" s="27"/>
      <c r="B78" s="143"/>
      <c r="C78" s="143"/>
      <c r="D78" s="143"/>
      <c r="E78" s="143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5.75" customHeight="1">
      <c r="A79" s="27"/>
      <c r="B79" s="143"/>
      <c r="C79" s="143"/>
      <c r="D79" s="143"/>
      <c r="E79" s="143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5.75" customHeight="1">
      <c r="A80" s="27"/>
      <c r="B80" s="143"/>
      <c r="C80" s="143"/>
      <c r="D80" s="143"/>
      <c r="E80" s="143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5.75" customHeight="1">
      <c r="A81" s="27"/>
      <c r="B81" s="143"/>
      <c r="C81" s="143"/>
      <c r="D81" s="143"/>
      <c r="E81" s="143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5.75" customHeight="1">
      <c r="A82" s="27"/>
      <c r="B82" s="143"/>
      <c r="C82" s="143"/>
      <c r="D82" s="143"/>
      <c r="E82" s="143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5.75" customHeight="1">
      <c r="A83" s="27"/>
      <c r="B83" s="143"/>
      <c r="C83" s="143"/>
      <c r="D83" s="143"/>
      <c r="E83" s="143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5.75" customHeight="1">
      <c r="A84" s="27"/>
      <c r="B84" s="143"/>
      <c r="C84" s="143"/>
      <c r="D84" s="143"/>
      <c r="E84" s="143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5.75" customHeight="1">
      <c r="A85" s="27"/>
      <c r="B85" s="143"/>
      <c r="C85" s="143"/>
      <c r="D85" s="143"/>
      <c r="E85" s="143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5.75" customHeight="1">
      <c r="A86" s="27"/>
      <c r="B86" s="143"/>
      <c r="C86" s="143"/>
      <c r="D86" s="143"/>
      <c r="E86" s="143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5.75" customHeight="1">
      <c r="A87" s="27"/>
      <c r="B87" s="143"/>
      <c r="C87" s="143"/>
      <c r="D87" s="143"/>
      <c r="E87" s="143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5.75" customHeight="1">
      <c r="A88" s="27"/>
      <c r="B88" s="143"/>
      <c r="C88" s="143"/>
      <c r="D88" s="143"/>
      <c r="E88" s="143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5.75" customHeight="1">
      <c r="A89" s="27"/>
      <c r="B89" s="143"/>
      <c r="C89" s="143"/>
      <c r="D89" s="143"/>
      <c r="E89" s="143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5.75" customHeight="1">
      <c r="A90" s="27"/>
      <c r="B90" s="143"/>
      <c r="C90" s="143"/>
      <c r="D90" s="143"/>
      <c r="E90" s="143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5.75" customHeight="1">
      <c r="A91" s="27"/>
      <c r="B91" s="143"/>
      <c r="C91" s="143"/>
      <c r="D91" s="143"/>
      <c r="E91" s="143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5.75" customHeight="1">
      <c r="A92" s="27"/>
      <c r="B92" s="143"/>
      <c r="C92" s="143"/>
      <c r="D92" s="143"/>
      <c r="E92" s="143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5.75" customHeight="1">
      <c r="A93" s="27"/>
      <c r="B93" s="143"/>
      <c r="C93" s="143"/>
      <c r="D93" s="143"/>
      <c r="E93" s="143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5.75" customHeight="1">
      <c r="A94" s="27"/>
      <c r="B94" s="143"/>
      <c r="C94" s="143"/>
      <c r="D94" s="143"/>
      <c r="E94" s="143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5.75" customHeight="1">
      <c r="A95" s="27"/>
      <c r="B95" s="143"/>
      <c r="C95" s="143"/>
      <c r="D95" s="143"/>
      <c r="E95" s="143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5.75" customHeight="1">
      <c r="A96" s="27"/>
      <c r="B96" s="143"/>
      <c r="C96" s="143"/>
      <c r="D96" s="143"/>
      <c r="E96" s="143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5.75" customHeight="1">
      <c r="A97" s="27"/>
      <c r="B97" s="143"/>
      <c r="C97" s="143"/>
      <c r="D97" s="143"/>
      <c r="E97" s="143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5.75" customHeight="1">
      <c r="A98" s="27"/>
      <c r="B98" s="143"/>
      <c r="C98" s="143"/>
      <c r="D98" s="143"/>
      <c r="E98" s="143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5.75" customHeight="1">
      <c r="A99" s="27"/>
      <c r="B99" s="143"/>
      <c r="C99" s="143"/>
      <c r="D99" s="143"/>
      <c r="E99" s="143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5.75" customHeight="1">
      <c r="A100" s="27"/>
      <c r="B100" s="143"/>
      <c r="C100" s="143"/>
      <c r="D100" s="143"/>
      <c r="E100" s="143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5.75" customHeight="1">
      <c r="A101" s="27"/>
      <c r="B101" s="143"/>
      <c r="C101" s="143"/>
      <c r="D101" s="143"/>
      <c r="E101" s="143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5.75" customHeight="1">
      <c r="A102" s="27"/>
      <c r="B102" s="143"/>
      <c r="C102" s="143"/>
      <c r="D102" s="143"/>
      <c r="E102" s="143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5.75" customHeight="1">
      <c r="A103" s="27"/>
      <c r="B103" s="143"/>
      <c r="C103" s="143"/>
      <c r="D103" s="143"/>
      <c r="E103" s="143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5.75" customHeight="1">
      <c r="A104" s="27"/>
      <c r="B104" s="143"/>
      <c r="C104" s="143"/>
      <c r="D104" s="143"/>
      <c r="E104" s="143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5.75" customHeight="1">
      <c r="A105" s="27"/>
      <c r="B105" s="143"/>
      <c r="C105" s="143"/>
      <c r="D105" s="143"/>
      <c r="E105" s="143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5.75" customHeight="1">
      <c r="A106" s="27"/>
      <c r="B106" s="143"/>
      <c r="C106" s="143"/>
      <c r="D106" s="143"/>
      <c r="E106" s="143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5.75" customHeight="1">
      <c r="A107" s="27"/>
      <c r="B107" s="143"/>
      <c r="C107" s="143"/>
      <c r="D107" s="143"/>
      <c r="E107" s="143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5.75" customHeight="1">
      <c r="A108" s="27"/>
      <c r="B108" s="143"/>
      <c r="C108" s="143"/>
      <c r="D108" s="143"/>
      <c r="E108" s="143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5.75" customHeight="1">
      <c r="A109" s="27"/>
      <c r="B109" s="143"/>
      <c r="C109" s="143"/>
      <c r="D109" s="143"/>
      <c r="E109" s="143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5.75" customHeight="1">
      <c r="A110" s="27"/>
      <c r="B110" s="143"/>
      <c r="C110" s="143"/>
      <c r="D110" s="143"/>
      <c r="E110" s="143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5.75" customHeight="1">
      <c r="A111" s="27"/>
      <c r="B111" s="143"/>
      <c r="C111" s="143"/>
      <c r="D111" s="143"/>
      <c r="E111" s="143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5.75" customHeight="1">
      <c r="A112" s="27"/>
      <c r="B112" s="143"/>
      <c r="C112" s="143"/>
      <c r="D112" s="143"/>
      <c r="E112" s="143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5.75" customHeight="1">
      <c r="A113" s="27"/>
      <c r="B113" s="143"/>
      <c r="C113" s="143"/>
      <c r="D113" s="143"/>
      <c r="E113" s="143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5.75" customHeight="1">
      <c r="A114" s="27"/>
      <c r="B114" s="143"/>
      <c r="C114" s="143"/>
      <c r="D114" s="143"/>
      <c r="E114" s="143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5.75" customHeight="1">
      <c r="A115" s="27"/>
      <c r="B115" s="143"/>
      <c r="C115" s="143"/>
      <c r="D115" s="143"/>
      <c r="E115" s="143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5.75" customHeight="1">
      <c r="A116" s="27"/>
      <c r="B116" s="143"/>
      <c r="C116" s="143"/>
      <c r="D116" s="143"/>
      <c r="E116" s="143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5.75" customHeight="1">
      <c r="A117" s="27"/>
      <c r="B117" s="143"/>
      <c r="C117" s="143"/>
      <c r="D117" s="143"/>
      <c r="E117" s="143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5.75" customHeight="1">
      <c r="A118" s="27"/>
      <c r="B118" s="143"/>
      <c r="C118" s="143"/>
      <c r="D118" s="143"/>
      <c r="E118" s="143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5.75" customHeight="1">
      <c r="A119" s="27"/>
      <c r="B119" s="143"/>
      <c r="C119" s="143"/>
      <c r="D119" s="143"/>
      <c r="E119" s="143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5.75" customHeight="1">
      <c r="A120" s="27"/>
      <c r="B120" s="143"/>
      <c r="C120" s="143"/>
      <c r="D120" s="143"/>
      <c r="E120" s="143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5.75" customHeight="1">
      <c r="A121" s="27"/>
      <c r="B121" s="143"/>
      <c r="C121" s="143"/>
      <c r="D121" s="143"/>
      <c r="E121" s="143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5.75" customHeight="1">
      <c r="A122" s="27"/>
      <c r="B122" s="143"/>
      <c r="C122" s="143"/>
      <c r="D122" s="143"/>
      <c r="E122" s="143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5.75" customHeight="1">
      <c r="A123" s="27"/>
      <c r="B123" s="143"/>
      <c r="C123" s="143"/>
      <c r="D123" s="143"/>
      <c r="E123" s="143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5.75" customHeight="1">
      <c r="A124" s="27"/>
      <c r="B124" s="143"/>
      <c r="C124" s="143"/>
      <c r="D124" s="143"/>
      <c r="E124" s="143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5.75" customHeight="1">
      <c r="A125" s="27"/>
      <c r="B125" s="143"/>
      <c r="C125" s="143"/>
      <c r="D125" s="143"/>
      <c r="E125" s="143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5.75" customHeight="1">
      <c r="A126" s="27"/>
      <c r="B126" s="143"/>
      <c r="C126" s="143"/>
      <c r="D126" s="143"/>
      <c r="E126" s="143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5.75" customHeight="1">
      <c r="A127" s="27"/>
      <c r="B127" s="143"/>
      <c r="C127" s="143"/>
      <c r="D127" s="143"/>
      <c r="E127" s="143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5.75" customHeight="1">
      <c r="A128" s="27"/>
      <c r="B128" s="143"/>
      <c r="C128" s="143"/>
      <c r="D128" s="143"/>
      <c r="E128" s="143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5.75" customHeight="1">
      <c r="A129" s="27"/>
      <c r="B129" s="143"/>
      <c r="C129" s="143"/>
      <c r="D129" s="143"/>
      <c r="E129" s="143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A130" s="27"/>
      <c r="B130" s="143"/>
      <c r="C130" s="143"/>
      <c r="D130" s="143"/>
      <c r="E130" s="143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5.75" customHeight="1">
      <c r="A131" s="27"/>
      <c r="B131" s="143"/>
      <c r="C131" s="143"/>
      <c r="D131" s="143"/>
      <c r="E131" s="143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5.75" customHeight="1">
      <c r="A132" s="27"/>
      <c r="B132" s="143"/>
      <c r="C132" s="143"/>
      <c r="D132" s="143"/>
      <c r="E132" s="143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5.75" customHeight="1">
      <c r="A133" s="27"/>
      <c r="B133" s="143"/>
      <c r="C133" s="143"/>
      <c r="D133" s="143"/>
      <c r="E133" s="143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5.75" customHeight="1">
      <c r="A134" s="27"/>
      <c r="B134" s="143"/>
      <c r="C134" s="143"/>
      <c r="D134" s="143"/>
      <c r="E134" s="143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5.75" customHeight="1">
      <c r="A135" s="27"/>
      <c r="B135" s="143"/>
      <c r="C135" s="143"/>
      <c r="D135" s="143"/>
      <c r="E135" s="143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5.75" customHeight="1">
      <c r="A136" s="27"/>
      <c r="B136" s="143"/>
      <c r="C136" s="143"/>
      <c r="D136" s="143"/>
      <c r="E136" s="143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5.75" customHeight="1">
      <c r="A137" s="27"/>
      <c r="B137" s="143"/>
      <c r="C137" s="143"/>
      <c r="D137" s="143"/>
      <c r="E137" s="143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5.75" customHeight="1">
      <c r="A138" s="27"/>
      <c r="B138" s="143"/>
      <c r="C138" s="143"/>
      <c r="D138" s="143"/>
      <c r="E138" s="143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5.75" customHeight="1">
      <c r="A139" s="27"/>
      <c r="B139" s="143"/>
      <c r="C139" s="143"/>
      <c r="D139" s="143"/>
      <c r="E139" s="143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5.75" customHeight="1">
      <c r="A140" s="27"/>
      <c r="B140" s="143"/>
      <c r="C140" s="143"/>
      <c r="D140" s="143"/>
      <c r="E140" s="143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5.75" customHeight="1">
      <c r="A141" s="27"/>
      <c r="B141" s="143"/>
      <c r="C141" s="143"/>
      <c r="D141" s="143"/>
      <c r="E141" s="143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5.75" customHeight="1">
      <c r="A142" s="27"/>
      <c r="B142" s="143"/>
      <c r="C142" s="143"/>
      <c r="D142" s="143"/>
      <c r="E142" s="143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5.75" customHeight="1">
      <c r="A143" s="27"/>
      <c r="B143" s="143"/>
      <c r="C143" s="143"/>
      <c r="D143" s="143"/>
      <c r="E143" s="143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5.75" customHeight="1">
      <c r="A144" s="27"/>
      <c r="B144" s="143"/>
      <c r="C144" s="143"/>
      <c r="D144" s="143"/>
      <c r="E144" s="143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5.75" customHeight="1">
      <c r="A145" s="27"/>
      <c r="B145" s="143"/>
      <c r="C145" s="143"/>
      <c r="D145" s="143"/>
      <c r="E145" s="143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5.75" customHeight="1">
      <c r="A146" s="27"/>
      <c r="B146" s="143"/>
      <c r="C146" s="143"/>
      <c r="D146" s="143"/>
      <c r="E146" s="143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5.75" customHeight="1">
      <c r="A147" s="27"/>
      <c r="B147" s="143"/>
      <c r="C147" s="143"/>
      <c r="D147" s="143"/>
      <c r="E147" s="143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5.75" customHeight="1">
      <c r="A148" s="27"/>
      <c r="B148" s="143"/>
      <c r="C148" s="143"/>
      <c r="D148" s="143"/>
      <c r="E148" s="143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5.75" customHeight="1">
      <c r="A149" s="27"/>
      <c r="B149" s="143"/>
      <c r="C149" s="143"/>
      <c r="D149" s="143"/>
      <c r="E149" s="143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5.75" customHeight="1">
      <c r="A150" s="27"/>
      <c r="B150" s="143"/>
      <c r="C150" s="143"/>
      <c r="D150" s="143"/>
      <c r="E150" s="143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5.75" customHeight="1">
      <c r="A151" s="27"/>
      <c r="B151" s="143"/>
      <c r="C151" s="143"/>
      <c r="D151" s="143"/>
      <c r="E151" s="143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5.75" customHeight="1">
      <c r="A152" s="27"/>
      <c r="B152" s="143"/>
      <c r="C152" s="143"/>
      <c r="D152" s="143"/>
      <c r="E152" s="143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5.75" customHeight="1">
      <c r="A153" s="27"/>
      <c r="B153" s="143"/>
      <c r="C153" s="143"/>
      <c r="D153" s="143"/>
      <c r="E153" s="143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5.75" customHeight="1">
      <c r="A154" s="27"/>
      <c r="B154" s="143"/>
      <c r="C154" s="143"/>
      <c r="D154" s="143"/>
      <c r="E154" s="143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5.75" customHeight="1">
      <c r="A155" s="27"/>
      <c r="B155" s="143"/>
      <c r="C155" s="143"/>
      <c r="D155" s="143"/>
      <c r="E155" s="143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5.75" customHeight="1">
      <c r="A156" s="27"/>
      <c r="B156" s="143"/>
      <c r="C156" s="143"/>
      <c r="D156" s="143"/>
      <c r="E156" s="143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5.75" customHeight="1">
      <c r="A157" s="27"/>
      <c r="B157" s="143"/>
      <c r="C157" s="143"/>
      <c r="D157" s="143"/>
      <c r="E157" s="143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5.75" customHeight="1">
      <c r="A158" s="27"/>
      <c r="B158" s="143"/>
      <c r="C158" s="143"/>
      <c r="D158" s="143"/>
      <c r="E158" s="143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5.75" customHeight="1">
      <c r="A159" s="27"/>
      <c r="B159" s="143"/>
      <c r="C159" s="143"/>
      <c r="D159" s="143"/>
      <c r="E159" s="143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5.75" customHeight="1">
      <c r="A160" s="27"/>
      <c r="B160" s="143"/>
      <c r="C160" s="143"/>
      <c r="D160" s="143"/>
      <c r="E160" s="143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5.75" customHeight="1">
      <c r="A161" s="27"/>
      <c r="B161" s="143"/>
      <c r="C161" s="143"/>
      <c r="D161" s="143"/>
      <c r="E161" s="143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5.75" customHeight="1">
      <c r="A162" s="27"/>
      <c r="B162" s="143"/>
      <c r="C162" s="143"/>
      <c r="D162" s="143"/>
      <c r="E162" s="143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A163" s="27"/>
      <c r="B163" s="143"/>
      <c r="C163" s="143"/>
      <c r="D163" s="143"/>
      <c r="E163" s="143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5.75" customHeight="1">
      <c r="A164" s="27"/>
      <c r="B164" s="143"/>
      <c r="C164" s="143"/>
      <c r="D164" s="143"/>
      <c r="E164" s="143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5.75" customHeight="1">
      <c r="A165" s="27"/>
      <c r="B165" s="143"/>
      <c r="C165" s="143"/>
      <c r="D165" s="143"/>
      <c r="E165" s="143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5.75" customHeight="1">
      <c r="A166" s="27"/>
      <c r="B166" s="143"/>
      <c r="C166" s="143"/>
      <c r="D166" s="143"/>
      <c r="E166" s="143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5.75" customHeight="1">
      <c r="A167" s="27"/>
      <c r="B167" s="143"/>
      <c r="C167" s="143"/>
      <c r="D167" s="143"/>
      <c r="E167" s="143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5.75" customHeight="1">
      <c r="A168" s="27"/>
      <c r="B168" s="143"/>
      <c r="C168" s="143"/>
      <c r="D168" s="143"/>
      <c r="E168" s="143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5.75" customHeight="1">
      <c r="A169" s="27"/>
      <c r="B169" s="143"/>
      <c r="C169" s="143"/>
      <c r="D169" s="143"/>
      <c r="E169" s="143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5.75" customHeight="1">
      <c r="A170" s="27"/>
      <c r="B170" s="143"/>
      <c r="C170" s="143"/>
      <c r="D170" s="143"/>
      <c r="E170" s="143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5.75" customHeight="1">
      <c r="A171" s="27"/>
      <c r="B171" s="143"/>
      <c r="C171" s="143"/>
      <c r="D171" s="143"/>
      <c r="E171" s="143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5.75" customHeight="1">
      <c r="A172" s="27"/>
      <c r="B172" s="143"/>
      <c r="C172" s="143"/>
      <c r="D172" s="143"/>
      <c r="E172" s="143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5.75" customHeight="1">
      <c r="A173" s="27"/>
      <c r="B173" s="143"/>
      <c r="C173" s="143"/>
      <c r="D173" s="143"/>
      <c r="E173" s="143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5.75" customHeight="1">
      <c r="A174" s="27"/>
      <c r="B174" s="143"/>
      <c r="C174" s="143"/>
      <c r="D174" s="143"/>
      <c r="E174" s="143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5.75" customHeight="1">
      <c r="A175" s="27"/>
      <c r="B175" s="143"/>
      <c r="C175" s="143"/>
      <c r="D175" s="143"/>
      <c r="E175" s="143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5.75" customHeight="1">
      <c r="A176" s="27"/>
      <c r="B176" s="143"/>
      <c r="C176" s="143"/>
      <c r="D176" s="143"/>
      <c r="E176" s="143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5.75" customHeight="1">
      <c r="A177" s="27"/>
      <c r="B177" s="143"/>
      <c r="C177" s="143"/>
      <c r="D177" s="143"/>
      <c r="E177" s="143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5.75" customHeight="1">
      <c r="A178" s="27"/>
      <c r="B178" s="143"/>
      <c r="C178" s="143"/>
      <c r="D178" s="143"/>
      <c r="E178" s="143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5.75" customHeight="1">
      <c r="A179" s="27"/>
      <c r="B179" s="143"/>
      <c r="C179" s="143"/>
      <c r="D179" s="143"/>
      <c r="E179" s="143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5.75" customHeight="1">
      <c r="A180" s="27"/>
      <c r="B180" s="143"/>
      <c r="C180" s="143"/>
      <c r="D180" s="143"/>
      <c r="E180" s="143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5.75" customHeight="1">
      <c r="A181" s="27"/>
      <c r="B181" s="143"/>
      <c r="C181" s="143"/>
      <c r="D181" s="143"/>
      <c r="E181" s="143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5.75" customHeight="1">
      <c r="A182" s="27"/>
      <c r="B182" s="143"/>
      <c r="C182" s="143"/>
      <c r="D182" s="143"/>
      <c r="E182" s="143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5.75" customHeight="1">
      <c r="A183" s="27"/>
      <c r="B183" s="143"/>
      <c r="C183" s="143"/>
      <c r="D183" s="143"/>
      <c r="E183" s="143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5.75" customHeight="1">
      <c r="A184" s="27"/>
      <c r="B184" s="143"/>
      <c r="C184" s="143"/>
      <c r="D184" s="143"/>
      <c r="E184" s="143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5.75" customHeight="1">
      <c r="A185" s="27"/>
      <c r="B185" s="143"/>
      <c r="C185" s="143"/>
      <c r="D185" s="143"/>
      <c r="E185" s="143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5.75" customHeight="1">
      <c r="A186" s="27"/>
      <c r="B186" s="143"/>
      <c r="C186" s="143"/>
      <c r="D186" s="143"/>
      <c r="E186" s="143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5.75" customHeight="1">
      <c r="A187" s="27"/>
      <c r="B187" s="143"/>
      <c r="C187" s="143"/>
      <c r="D187" s="143"/>
      <c r="E187" s="143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5.75" customHeight="1">
      <c r="A188" s="27"/>
      <c r="B188" s="143"/>
      <c r="C188" s="143"/>
      <c r="D188" s="143"/>
      <c r="E188" s="143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5.75" customHeight="1">
      <c r="A189" s="27"/>
      <c r="B189" s="143"/>
      <c r="C189" s="143"/>
      <c r="D189" s="143"/>
      <c r="E189" s="143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5.75" customHeight="1">
      <c r="A190" s="27"/>
      <c r="B190" s="143"/>
      <c r="C190" s="143"/>
      <c r="D190" s="143"/>
      <c r="E190" s="143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5.75" customHeight="1">
      <c r="A191" s="27"/>
      <c r="B191" s="143"/>
      <c r="C191" s="143"/>
      <c r="D191" s="143"/>
      <c r="E191" s="143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5.75" customHeight="1">
      <c r="A192" s="27"/>
      <c r="B192" s="143"/>
      <c r="C192" s="143"/>
      <c r="D192" s="143"/>
      <c r="E192" s="143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5.75" customHeight="1">
      <c r="A193" s="27"/>
      <c r="B193" s="143"/>
      <c r="C193" s="143"/>
      <c r="D193" s="143"/>
      <c r="E193" s="143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5.75" customHeight="1">
      <c r="A194" s="27"/>
      <c r="B194" s="143"/>
      <c r="C194" s="143"/>
      <c r="D194" s="143"/>
      <c r="E194" s="143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5.75" customHeight="1">
      <c r="A195" s="27"/>
      <c r="B195" s="143"/>
      <c r="C195" s="143"/>
      <c r="D195" s="143"/>
      <c r="E195" s="143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5.75" customHeight="1">
      <c r="A196" s="27"/>
      <c r="B196" s="143"/>
      <c r="C196" s="143"/>
      <c r="D196" s="143"/>
      <c r="E196" s="143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5.75" customHeight="1">
      <c r="A197" s="27"/>
      <c r="B197" s="143"/>
      <c r="C197" s="143"/>
      <c r="D197" s="143"/>
      <c r="E197" s="143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5.75" customHeight="1">
      <c r="A198" s="27"/>
      <c r="B198" s="143"/>
      <c r="C198" s="143"/>
      <c r="D198" s="143"/>
      <c r="E198" s="143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5.75" customHeight="1">
      <c r="A199" s="27"/>
      <c r="B199" s="143"/>
      <c r="C199" s="143"/>
      <c r="D199" s="143"/>
      <c r="E199" s="143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5.75" customHeight="1">
      <c r="A200" s="27"/>
      <c r="B200" s="143"/>
      <c r="C200" s="143"/>
      <c r="D200" s="143"/>
      <c r="E200" s="143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5.75" customHeight="1">
      <c r="A201" s="27"/>
      <c r="B201" s="143"/>
      <c r="C201" s="143"/>
      <c r="D201" s="143"/>
      <c r="E201" s="143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5.75" customHeight="1">
      <c r="A202" s="27"/>
      <c r="B202" s="143"/>
      <c r="C202" s="143"/>
      <c r="D202" s="143"/>
      <c r="E202" s="143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5.75" customHeight="1">
      <c r="A203" s="27"/>
      <c r="B203" s="143"/>
      <c r="C203" s="143"/>
      <c r="D203" s="143"/>
      <c r="E203" s="143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5.75" customHeight="1">
      <c r="A204" s="27"/>
      <c r="B204" s="143"/>
      <c r="C204" s="143"/>
      <c r="D204" s="143"/>
      <c r="E204" s="143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5.75" customHeight="1">
      <c r="A205" s="27"/>
      <c r="B205" s="143"/>
      <c r="C205" s="143"/>
      <c r="D205" s="143"/>
      <c r="E205" s="143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5.75" customHeight="1">
      <c r="A206" s="27"/>
      <c r="B206" s="143"/>
      <c r="C206" s="143"/>
      <c r="D206" s="143"/>
      <c r="E206" s="143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5.75" customHeight="1">
      <c r="A207" s="27"/>
      <c r="B207" s="143"/>
      <c r="C207" s="143"/>
      <c r="D207" s="143"/>
      <c r="E207" s="143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5.75" customHeight="1">
      <c r="A208" s="27"/>
      <c r="B208" s="143"/>
      <c r="C208" s="143"/>
      <c r="D208" s="143"/>
      <c r="E208" s="143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5.75" customHeight="1">
      <c r="A209" s="27"/>
      <c r="B209" s="143"/>
      <c r="C209" s="143"/>
      <c r="D209" s="143"/>
      <c r="E209" s="143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5.75" customHeight="1">
      <c r="A210" s="27"/>
      <c r="B210" s="143"/>
      <c r="C210" s="143"/>
      <c r="D210" s="143"/>
      <c r="E210" s="143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5.75" customHeight="1">
      <c r="A211" s="27"/>
      <c r="B211" s="143"/>
      <c r="C211" s="143"/>
      <c r="D211" s="143"/>
      <c r="E211" s="143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5.75" customHeight="1">
      <c r="A212" s="27"/>
      <c r="B212" s="143"/>
      <c r="C212" s="143"/>
      <c r="D212" s="143"/>
      <c r="E212" s="143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5.75" customHeight="1">
      <c r="A213" s="27"/>
      <c r="B213" s="143"/>
      <c r="C213" s="143"/>
      <c r="D213" s="143"/>
      <c r="E213" s="143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5.75" customHeight="1">
      <c r="A214" s="27"/>
      <c r="B214" s="143"/>
      <c r="C214" s="143"/>
      <c r="D214" s="143"/>
      <c r="E214" s="143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5.75" customHeight="1">
      <c r="A215" s="27"/>
      <c r="B215" s="143"/>
      <c r="C215" s="143"/>
      <c r="D215" s="143"/>
      <c r="E215" s="143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5.75" customHeight="1">
      <c r="A216" s="27"/>
      <c r="B216" s="143"/>
      <c r="C216" s="143"/>
      <c r="D216" s="143"/>
      <c r="E216" s="143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5.75" customHeight="1">
      <c r="A217" s="27"/>
      <c r="B217" s="143"/>
      <c r="C217" s="143"/>
      <c r="D217" s="143"/>
      <c r="E217" s="143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5.75" customHeight="1">
      <c r="A218" s="27"/>
      <c r="B218" s="143"/>
      <c r="C218" s="143"/>
      <c r="D218" s="143"/>
      <c r="E218" s="143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5.75" customHeight="1">
      <c r="A219" s="27"/>
      <c r="B219" s="143"/>
      <c r="C219" s="143"/>
      <c r="D219" s="143"/>
      <c r="E219" s="143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5.75" customHeight="1">
      <c r="A220" s="27"/>
      <c r="B220" s="143"/>
      <c r="C220" s="143"/>
      <c r="D220" s="143"/>
      <c r="E220" s="143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5.75" customHeight="1">
      <c r="A221" s="27"/>
      <c r="B221" s="143"/>
      <c r="C221" s="143"/>
      <c r="D221" s="143"/>
      <c r="E221" s="143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5.75" customHeight="1">
      <c r="A222" s="27"/>
      <c r="B222" s="143"/>
      <c r="C222" s="143"/>
      <c r="D222" s="143"/>
      <c r="E222" s="143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5.75" customHeight="1">
      <c r="A223" s="27"/>
      <c r="B223" s="143"/>
      <c r="C223" s="143"/>
      <c r="D223" s="143"/>
      <c r="E223" s="143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5.75" customHeight="1">
      <c r="A224" s="27"/>
      <c r="B224" s="143"/>
      <c r="C224" s="143"/>
      <c r="D224" s="143"/>
      <c r="E224" s="143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5.75" customHeight="1">
      <c r="A225" s="27"/>
      <c r="B225" s="143"/>
      <c r="C225" s="143"/>
      <c r="D225" s="143"/>
      <c r="E225" s="143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5.75" customHeight="1">
      <c r="A226" s="27"/>
      <c r="B226" s="143"/>
      <c r="C226" s="143"/>
      <c r="D226" s="143"/>
      <c r="E226" s="143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5.75" customHeight="1">
      <c r="A227" s="27"/>
      <c r="B227" s="143"/>
      <c r="C227" s="143"/>
      <c r="D227" s="143"/>
      <c r="E227" s="143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5.75" customHeight="1">
      <c r="A228" s="27"/>
      <c r="B228" s="143"/>
      <c r="C228" s="143"/>
      <c r="D228" s="143"/>
      <c r="E228" s="143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5.75" customHeight="1">
      <c r="A229" s="27"/>
      <c r="B229" s="143"/>
      <c r="C229" s="143"/>
      <c r="D229" s="143"/>
      <c r="E229" s="143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5.75" customHeight="1">
      <c r="A230" s="27"/>
      <c r="B230" s="143"/>
      <c r="C230" s="143"/>
      <c r="D230" s="143"/>
      <c r="E230" s="143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5.75" customHeight="1">
      <c r="A231" s="27"/>
      <c r="B231" s="143"/>
      <c r="C231" s="143"/>
      <c r="D231" s="143"/>
      <c r="E231" s="143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5.75" customHeight="1">
      <c r="A232" s="27"/>
      <c r="B232" s="143"/>
      <c r="C232" s="143"/>
      <c r="D232" s="143"/>
      <c r="E232" s="143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5.75" customHeight="1">
      <c r="A233" s="27"/>
      <c r="B233" s="143"/>
      <c r="C233" s="143"/>
      <c r="D233" s="143"/>
      <c r="E233" s="143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5.75" customHeight="1">
      <c r="A234" s="27"/>
      <c r="B234" s="143"/>
      <c r="C234" s="143"/>
      <c r="D234" s="143"/>
      <c r="E234" s="143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5.75" customHeight="1">
      <c r="A235" s="27"/>
      <c r="B235" s="143"/>
      <c r="C235" s="143"/>
      <c r="D235" s="143"/>
      <c r="E235" s="143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5.75" customHeight="1">
      <c r="A236" s="27"/>
      <c r="B236" s="143"/>
      <c r="C236" s="143"/>
      <c r="D236" s="143"/>
      <c r="E236" s="143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5.75" customHeight="1">
      <c r="A237" s="27"/>
      <c r="B237" s="143"/>
      <c r="C237" s="143"/>
      <c r="D237" s="143"/>
      <c r="E237" s="143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5.75" customHeight="1">
      <c r="A238" s="27"/>
      <c r="B238" s="143"/>
      <c r="C238" s="143"/>
      <c r="D238" s="143"/>
      <c r="E238" s="143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5.75" customHeight="1">
      <c r="A239" s="27"/>
      <c r="B239" s="143"/>
      <c r="C239" s="143"/>
      <c r="D239" s="143"/>
      <c r="E239" s="143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5.75" customHeight="1">
      <c r="A240" s="27"/>
      <c r="B240" s="143"/>
      <c r="C240" s="143"/>
      <c r="D240" s="143"/>
      <c r="E240" s="143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5.75" customHeight="1">
      <c r="A241" s="27"/>
      <c r="B241" s="143"/>
      <c r="C241" s="143"/>
      <c r="D241" s="143"/>
      <c r="E241" s="143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5.75" customHeight="1">
      <c r="A242" s="27"/>
      <c r="B242" s="143"/>
      <c r="C242" s="143"/>
      <c r="D242" s="143"/>
      <c r="E242" s="143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5.75" customHeight="1">
      <c r="A243" s="27"/>
      <c r="B243" s="143"/>
      <c r="C243" s="143"/>
      <c r="D243" s="143"/>
      <c r="E243" s="143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5.75" customHeight="1">
      <c r="A244" s="27"/>
      <c r="B244" s="143"/>
      <c r="C244" s="143"/>
      <c r="D244" s="143"/>
      <c r="E244" s="143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5.75" customHeight="1">
      <c r="A245" s="27"/>
      <c r="B245" s="143"/>
      <c r="C245" s="143"/>
      <c r="D245" s="143"/>
      <c r="E245" s="143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5.75" customHeight="1">
      <c r="A246" s="93"/>
      <c r="B246" s="91"/>
      <c r="C246" s="91"/>
      <c r="D246" s="91"/>
      <c r="E246" s="91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</row>
    <row r="247" ht="15.75" customHeight="1">
      <c r="A247" s="93"/>
      <c r="B247" s="91"/>
      <c r="C247" s="91"/>
      <c r="D247" s="91"/>
      <c r="E247" s="91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</row>
    <row r="248" ht="15.75" customHeight="1">
      <c r="A248" s="93"/>
      <c r="B248" s="91"/>
      <c r="C248" s="91"/>
      <c r="D248" s="91"/>
      <c r="E248" s="91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</row>
    <row r="249" ht="15.75" customHeight="1">
      <c r="A249" s="93"/>
      <c r="B249" s="91"/>
      <c r="C249" s="91"/>
      <c r="D249" s="91"/>
      <c r="E249" s="91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</row>
    <row r="250" ht="15.75" customHeight="1">
      <c r="A250" s="93"/>
      <c r="B250" s="91"/>
      <c r="C250" s="91"/>
      <c r="D250" s="91"/>
      <c r="E250" s="91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</row>
    <row r="251" ht="15.75" customHeight="1">
      <c r="A251" s="93"/>
      <c r="B251" s="91"/>
      <c r="C251" s="91"/>
      <c r="D251" s="91"/>
      <c r="E251" s="91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</row>
    <row r="252" ht="15.75" customHeight="1">
      <c r="A252" s="93"/>
      <c r="B252" s="91"/>
      <c r="C252" s="91"/>
      <c r="D252" s="91"/>
      <c r="E252" s="91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</row>
    <row r="253" ht="15.75" customHeight="1">
      <c r="A253" s="93"/>
      <c r="B253" s="91"/>
      <c r="C253" s="91"/>
      <c r="D253" s="91"/>
      <c r="E253" s="91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</row>
    <row r="254" ht="15.75" customHeight="1">
      <c r="A254" s="93"/>
      <c r="B254" s="91"/>
      <c r="C254" s="91"/>
      <c r="D254" s="91"/>
      <c r="E254" s="91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</row>
    <row r="255" ht="15.75" customHeight="1">
      <c r="A255" s="93"/>
      <c r="B255" s="91"/>
      <c r="C255" s="91"/>
      <c r="D255" s="91"/>
      <c r="E255" s="91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</row>
    <row r="256" ht="15.75" customHeight="1">
      <c r="A256" s="93"/>
      <c r="B256" s="91"/>
      <c r="C256" s="91"/>
      <c r="D256" s="91"/>
      <c r="E256" s="91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</row>
    <row r="257" ht="15.75" customHeight="1">
      <c r="A257" s="93"/>
      <c r="B257" s="91"/>
      <c r="C257" s="91"/>
      <c r="D257" s="91"/>
      <c r="E257" s="91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</row>
    <row r="258" ht="15.75" customHeight="1">
      <c r="A258" s="93"/>
      <c r="B258" s="91"/>
      <c r="C258" s="91"/>
      <c r="D258" s="91"/>
      <c r="E258" s="91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</row>
    <row r="259" ht="15.75" customHeight="1">
      <c r="A259" s="93"/>
      <c r="B259" s="91"/>
      <c r="C259" s="91"/>
      <c r="D259" s="91"/>
      <c r="E259" s="91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</row>
    <row r="260" ht="15.75" customHeight="1">
      <c r="A260" s="93"/>
      <c r="B260" s="91"/>
      <c r="C260" s="91"/>
      <c r="D260" s="91"/>
      <c r="E260" s="91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</row>
    <row r="261" ht="15.75" customHeight="1">
      <c r="A261" s="93"/>
      <c r="B261" s="91"/>
      <c r="C261" s="91"/>
      <c r="D261" s="91"/>
      <c r="E261" s="91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</row>
    <row r="262" ht="15.75" customHeight="1">
      <c r="A262" s="93"/>
      <c r="B262" s="91"/>
      <c r="C262" s="91"/>
      <c r="D262" s="91"/>
      <c r="E262" s="91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</row>
    <row r="263" ht="15.75" customHeight="1">
      <c r="A263" s="93"/>
      <c r="B263" s="91"/>
      <c r="C263" s="91"/>
      <c r="D263" s="91"/>
      <c r="E263" s="91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</row>
    <row r="264" ht="15.75" customHeight="1">
      <c r="A264" s="93"/>
      <c r="B264" s="91"/>
      <c r="C264" s="91"/>
      <c r="D264" s="91"/>
      <c r="E264" s="91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</row>
    <row r="265" ht="15.75" customHeight="1">
      <c r="A265" s="93"/>
      <c r="B265" s="91"/>
      <c r="C265" s="91"/>
      <c r="D265" s="91"/>
      <c r="E265" s="91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</row>
    <row r="266" ht="15.75" customHeight="1">
      <c r="A266" s="93"/>
      <c r="B266" s="91"/>
      <c r="C266" s="91"/>
      <c r="D266" s="91"/>
      <c r="E266" s="91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</row>
    <row r="267" ht="15.75" customHeight="1">
      <c r="A267" s="93"/>
      <c r="B267" s="91"/>
      <c r="C267" s="91"/>
      <c r="D267" s="91"/>
      <c r="E267" s="91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</row>
    <row r="268" ht="15.75" customHeight="1">
      <c r="A268" s="93"/>
      <c r="B268" s="91"/>
      <c r="C268" s="91"/>
      <c r="D268" s="91"/>
      <c r="E268" s="91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</row>
    <row r="269" ht="15.75" customHeight="1">
      <c r="A269" s="93"/>
      <c r="B269" s="91"/>
      <c r="C269" s="91"/>
      <c r="D269" s="91"/>
      <c r="E269" s="91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</row>
    <row r="270" ht="15.75" customHeight="1">
      <c r="A270" s="93"/>
      <c r="B270" s="91"/>
      <c r="C270" s="91"/>
      <c r="D270" s="91"/>
      <c r="E270" s="91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</row>
    <row r="271" ht="15.75" customHeight="1">
      <c r="A271" s="93"/>
      <c r="B271" s="91"/>
      <c r="C271" s="91"/>
      <c r="D271" s="91"/>
      <c r="E271" s="91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</row>
    <row r="272" ht="15.75" customHeight="1">
      <c r="A272" s="93"/>
      <c r="B272" s="91"/>
      <c r="C272" s="91"/>
      <c r="D272" s="91"/>
      <c r="E272" s="91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</row>
    <row r="273" ht="15.75" customHeight="1">
      <c r="A273" s="93"/>
      <c r="B273" s="91"/>
      <c r="C273" s="91"/>
      <c r="D273" s="91"/>
      <c r="E273" s="91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</row>
    <row r="274" ht="15.75" customHeight="1">
      <c r="A274" s="93"/>
      <c r="B274" s="91"/>
      <c r="C274" s="91"/>
      <c r="D274" s="91"/>
      <c r="E274" s="91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</row>
    <row r="275" ht="15.75" customHeight="1">
      <c r="A275" s="93"/>
      <c r="B275" s="91"/>
      <c r="C275" s="91"/>
      <c r="D275" s="91"/>
      <c r="E275" s="91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</row>
    <row r="276" ht="15.75" customHeight="1">
      <c r="A276" s="93"/>
      <c r="B276" s="91"/>
      <c r="C276" s="91"/>
      <c r="D276" s="91"/>
      <c r="E276" s="91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</row>
    <row r="277" ht="15.75" customHeight="1">
      <c r="A277" s="93"/>
      <c r="B277" s="91"/>
      <c r="C277" s="91"/>
      <c r="D277" s="91"/>
      <c r="E277" s="91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</row>
    <row r="278" ht="15.75" customHeight="1">
      <c r="A278" s="93"/>
      <c r="B278" s="91"/>
      <c r="C278" s="91"/>
      <c r="D278" s="91"/>
      <c r="E278" s="91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</row>
    <row r="279" ht="15.75" customHeight="1">
      <c r="A279" s="93"/>
      <c r="B279" s="91"/>
      <c r="C279" s="91"/>
      <c r="D279" s="91"/>
      <c r="E279" s="91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</row>
    <row r="280" ht="15.75" customHeight="1">
      <c r="A280" s="93"/>
      <c r="B280" s="91"/>
      <c r="C280" s="91"/>
      <c r="D280" s="91"/>
      <c r="E280" s="91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</row>
    <row r="281" ht="15.75" customHeight="1">
      <c r="A281" s="93"/>
      <c r="B281" s="91"/>
      <c r="C281" s="91"/>
      <c r="D281" s="91"/>
      <c r="E281" s="91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</row>
    <row r="282" ht="15.75" customHeight="1">
      <c r="A282" s="93"/>
      <c r="B282" s="91"/>
      <c r="C282" s="91"/>
      <c r="D282" s="91"/>
      <c r="E282" s="91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</row>
    <row r="283" ht="15.75" customHeight="1">
      <c r="A283" s="93"/>
      <c r="B283" s="91"/>
      <c r="C283" s="91"/>
      <c r="D283" s="91"/>
      <c r="E283" s="91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</row>
    <row r="284" ht="15.75" customHeight="1">
      <c r="A284" s="93"/>
      <c r="B284" s="91"/>
      <c r="C284" s="91"/>
      <c r="D284" s="91"/>
      <c r="E284" s="91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</row>
    <row r="285" ht="15.75" customHeight="1">
      <c r="A285" s="93"/>
      <c r="B285" s="91"/>
      <c r="C285" s="91"/>
      <c r="D285" s="91"/>
      <c r="E285" s="91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</row>
    <row r="286" ht="15.75" customHeight="1">
      <c r="A286" s="93"/>
      <c r="B286" s="91"/>
      <c r="C286" s="91"/>
      <c r="D286" s="91"/>
      <c r="E286" s="91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</row>
    <row r="287" ht="15.75" customHeight="1">
      <c r="A287" s="93"/>
      <c r="B287" s="91"/>
      <c r="C287" s="91"/>
      <c r="D287" s="91"/>
      <c r="E287" s="91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</row>
    <row r="288" ht="15.75" customHeight="1">
      <c r="A288" s="93"/>
      <c r="B288" s="91"/>
      <c r="C288" s="91"/>
      <c r="D288" s="91"/>
      <c r="E288" s="91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</row>
    <row r="289" ht="15.75" customHeight="1">
      <c r="A289" s="93"/>
      <c r="B289" s="91"/>
      <c r="C289" s="91"/>
      <c r="D289" s="91"/>
      <c r="E289" s="91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</row>
    <row r="290" ht="15.75" customHeight="1">
      <c r="A290" s="93"/>
      <c r="B290" s="91"/>
      <c r="C290" s="91"/>
      <c r="D290" s="91"/>
      <c r="E290" s="91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</row>
    <row r="291" ht="15.75" customHeight="1">
      <c r="A291" s="93"/>
      <c r="B291" s="91"/>
      <c r="C291" s="91"/>
      <c r="D291" s="91"/>
      <c r="E291" s="91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</row>
    <row r="292" ht="15.75" customHeight="1">
      <c r="A292" s="93"/>
      <c r="B292" s="91"/>
      <c r="C292" s="91"/>
      <c r="D292" s="91"/>
      <c r="E292" s="91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</row>
    <row r="293" ht="15.75" customHeight="1">
      <c r="A293" s="93"/>
      <c r="B293" s="91"/>
      <c r="C293" s="91"/>
      <c r="D293" s="91"/>
      <c r="E293" s="91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</row>
    <row r="294" ht="15.75" customHeight="1">
      <c r="A294" s="93"/>
      <c r="B294" s="91"/>
      <c r="C294" s="91"/>
      <c r="D294" s="91"/>
      <c r="E294" s="91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</row>
    <row r="295" ht="15.75" customHeight="1">
      <c r="A295" s="93"/>
      <c r="B295" s="91"/>
      <c r="C295" s="91"/>
      <c r="D295" s="91"/>
      <c r="E295" s="91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</row>
    <row r="296" ht="15.75" customHeight="1">
      <c r="A296" s="93"/>
      <c r="B296" s="91"/>
      <c r="C296" s="91"/>
      <c r="D296" s="91"/>
      <c r="E296" s="91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</row>
    <row r="297" ht="15.75" customHeight="1">
      <c r="A297" s="93"/>
      <c r="B297" s="91"/>
      <c r="C297" s="91"/>
      <c r="D297" s="91"/>
      <c r="E297" s="91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</row>
    <row r="298" ht="15.75" customHeight="1">
      <c r="A298" s="93"/>
      <c r="B298" s="91"/>
      <c r="C298" s="91"/>
      <c r="D298" s="91"/>
      <c r="E298" s="91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</row>
    <row r="299" ht="15.75" customHeight="1">
      <c r="A299" s="93"/>
      <c r="B299" s="91"/>
      <c r="C299" s="91"/>
      <c r="D299" s="91"/>
      <c r="E299" s="91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</row>
    <row r="300" ht="15.75" customHeight="1">
      <c r="A300" s="93"/>
      <c r="B300" s="91"/>
      <c r="C300" s="91"/>
      <c r="D300" s="91"/>
      <c r="E300" s="91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</row>
    <row r="301" ht="15.75" customHeight="1">
      <c r="A301" s="93"/>
      <c r="B301" s="91"/>
      <c r="C301" s="91"/>
      <c r="D301" s="91"/>
      <c r="E301" s="91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</row>
    <row r="302" ht="15.75" customHeight="1">
      <c r="A302" s="93"/>
      <c r="B302" s="91"/>
      <c r="C302" s="91"/>
      <c r="D302" s="91"/>
      <c r="E302" s="91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</row>
    <row r="303" ht="15.75" customHeight="1">
      <c r="A303" s="93"/>
      <c r="B303" s="91"/>
      <c r="C303" s="91"/>
      <c r="D303" s="91"/>
      <c r="E303" s="91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</row>
    <row r="304" ht="15.75" customHeight="1">
      <c r="A304" s="93"/>
      <c r="B304" s="91"/>
      <c r="C304" s="91"/>
      <c r="D304" s="91"/>
      <c r="E304" s="91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</row>
    <row r="305" ht="15.75" customHeight="1">
      <c r="A305" s="93"/>
      <c r="B305" s="91"/>
      <c r="C305" s="91"/>
      <c r="D305" s="91"/>
      <c r="E305" s="91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</row>
    <row r="306" ht="15.75" customHeight="1">
      <c r="A306" s="93"/>
      <c r="B306" s="91"/>
      <c r="C306" s="91"/>
      <c r="D306" s="91"/>
      <c r="E306" s="91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</row>
    <row r="307" ht="15.75" customHeight="1">
      <c r="A307" s="93"/>
      <c r="B307" s="91"/>
      <c r="C307" s="91"/>
      <c r="D307" s="91"/>
      <c r="E307" s="91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</row>
    <row r="308" ht="15.75" customHeight="1">
      <c r="A308" s="93"/>
      <c r="B308" s="91"/>
      <c r="C308" s="91"/>
      <c r="D308" s="91"/>
      <c r="E308" s="91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</row>
    <row r="309" ht="15.75" customHeight="1">
      <c r="A309" s="93"/>
      <c r="B309" s="91"/>
      <c r="C309" s="91"/>
      <c r="D309" s="91"/>
      <c r="E309" s="91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</row>
    <row r="310" ht="15.75" customHeight="1">
      <c r="A310" s="93"/>
      <c r="B310" s="91"/>
      <c r="C310" s="91"/>
      <c r="D310" s="91"/>
      <c r="E310" s="91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</row>
    <row r="311" ht="15.75" customHeight="1">
      <c r="A311" s="93"/>
      <c r="B311" s="91"/>
      <c r="C311" s="91"/>
      <c r="D311" s="91"/>
      <c r="E311" s="91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</row>
    <row r="312" ht="15.75" customHeight="1">
      <c r="A312" s="93"/>
      <c r="B312" s="91"/>
      <c r="C312" s="91"/>
      <c r="D312" s="91"/>
      <c r="E312" s="91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</row>
    <row r="313" ht="15.75" customHeight="1">
      <c r="A313" s="93"/>
      <c r="B313" s="91"/>
      <c r="C313" s="91"/>
      <c r="D313" s="91"/>
      <c r="E313" s="91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</row>
    <row r="314" ht="15.75" customHeight="1">
      <c r="A314" s="93"/>
      <c r="B314" s="91"/>
      <c r="C314" s="91"/>
      <c r="D314" s="91"/>
      <c r="E314" s="91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</row>
    <row r="315" ht="15.75" customHeight="1">
      <c r="A315" s="93"/>
      <c r="B315" s="91"/>
      <c r="C315" s="91"/>
      <c r="D315" s="91"/>
      <c r="E315" s="91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</row>
    <row r="316" ht="15.75" customHeight="1">
      <c r="A316" s="93"/>
      <c r="B316" s="91"/>
      <c r="C316" s="91"/>
      <c r="D316" s="91"/>
      <c r="E316" s="91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</row>
    <row r="317" ht="15.75" customHeight="1">
      <c r="A317" s="93"/>
      <c r="B317" s="91"/>
      <c r="C317" s="91"/>
      <c r="D317" s="91"/>
      <c r="E317" s="91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</row>
    <row r="318" ht="15.75" customHeight="1">
      <c r="A318" s="93"/>
      <c r="B318" s="91"/>
      <c r="C318" s="91"/>
      <c r="D318" s="91"/>
      <c r="E318" s="91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</row>
    <row r="319" ht="15.75" customHeight="1">
      <c r="A319" s="93"/>
      <c r="B319" s="91"/>
      <c r="C319" s="91"/>
      <c r="D319" s="91"/>
      <c r="E319" s="91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</row>
    <row r="320" ht="15.75" customHeight="1">
      <c r="A320" s="93"/>
      <c r="B320" s="91"/>
      <c r="C320" s="91"/>
      <c r="D320" s="91"/>
      <c r="E320" s="91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</row>
    <row r="321" ht="15.75" customHeight="1">
      <c r="A321" s="93"/>
      <c r="B321" s="91"/>
      <c r="C321" s="91"/>
      <c r="D321" s="91"/>
      <c r="E321" s="91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</row>
    <row r="322" ht="15.75" customHeight="1">
      <c r="A322" s="93"/>
      <c r="B322" s="91"/>
      <c r="C322" s="91"/>
      <c r="D322" s="91"/>
      <c r="E322" s="91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</row>
    <row r="323" ht="15.75" customHeight="1">
      <c r="A323" s="93"/>
      <c r="B323" s="91"/>
      <c r="C323" s="91"/>
      <c r="D323" s="91"/>
      <c r="E323" s="91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</row>
    <row r="324" ht="15.75" customHeight="1">
      <c r="A324" s="93"/>
      <c r="B324" s="91"/>
      <c r="C324" s="91"/>
      <c r="D324" s="91"/>
      <c r="E324" s="91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</row>
    <row r="325" ht="15.75" customHeight="1">
      <c r="A325" s="93"/>
      <c r="B325" s="91"/>
      <c r="C325" s="91"/>
      <c r="D325" s="91"/>
      <c r="E325" s="91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</row>
    <row r="326" ht="15.75" customHeight="1">
      <c r="A326" s="93"/>
      <c r="B326" s="91"/>
      <c r="C326" s="91"/>
      <c r="D326" s="91"/>
      <c r="E326" s="91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</row>
    <row r="327" ht="15.75" customHeight="1">
      <c r="A327" s="93"/>
      <c r="B327" s="91"/>
      <c r="C327" s="91"/>
      <c r="D327" s="91"/>
      <c r="E327" s="91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</row>
    <row r="328" ht="15.75" customHeight="1">
      <c r="A328" s="93"/>
      <c r="B328" s="91"/>
      <c r="C328" s="91"/>
      <c r="D328" s="91"/>
      <c r="E328" s="91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</row>
    <row r="329" ht="15.75" customHeight="1">
      <c r="A329" s="93"/>
      <c r="B329" s="91"/>
      <c r="C329" s="91"/>
      <c r="D329" s="91"/>
      <c r="E329" s="91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</row>
    <row r="330" ht="15.75" customHeight="1">
      <c r="A330" s="93"/>
      <c r="B330" s="91"/>
      <c r="C330" s="91"/>
      <c r="D330" s="91"/>
      <c r="E330" s="91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</row>
    <row r="331" ht="15.75" customHeight="1">
      <c r="A331" s="93"/>
      <c r="B331" s="91"/>
      <c r="C331" s="91"/>
      <c r="D331" s="91"/>
      <c r="E331" s="91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</row>
    <row r="332" ht="15.75" customHeight="1">
      <c r="A332" s="93"/>
      <c r="B332" s="91"/>
      <c r="C332" s="91"/>
      <c r="D332" s="91"/>
      <c r="E332" s="91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</row>
    <row r="333" ht="15.75" customHeight="1">
      <c r="A333" s="93"/>
      <c r="B333" s="91"/>
      <c r="C333" s="91"/>
      <c r="D333" s="91"/>
      <c r="E333" s="91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</row>
    <row r="334" ht="15.75" customHeight="1">
      <c r="A334" s="93"/>
      <c r="B334" s="91"/>
      <c r="C334" s="91"/>
      <c r="D334" s="91"/>
      <c r="E334" s="91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</row>
    <row r="335" ht="15.75" customHeight="1">
      <c r="A335" s="93"/>
      <c r="B335" s="91"/>
      <c r="C335" s="91"/>
      <c r="D335" s="91"/>
      <c r="E335" s="91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</row>
    <row r="336" ht="15.75" customHeight="1">
      <c r="A336" s="93"/>
      <c r="B336" s="91"/>
      <c r="C336" s="91"/>
      <c r="D336" s="91"/>
      <c r="E336" s="91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</row>
    <row r="337" ht="15.75" customHeight="1">
      <c r="A337" s="93"/>
      <c r="B337" s="91"/>
      <c r="C337" s="91"/>
      <c r="D337" s="91"/>
      <c r="E337" s="91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</row>
    <row r="338" ht="15.75" customHeight="1">
      <c r="A338" s="93"/>
      <c r="B338" s="91"/>
      <c r="C338" s="91"/>
      <c r="D338" s="91"/>
      <c r="E338" s="91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</row>
    <row r="339" ht="15.75" customHeight="1">
      <c r="A339" s="93"/>
      <c r="B339" s="91"/>
      <c r="C339" s="91"/>
      <c r="D339" s="91"/>
      <c r="E339" s="91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</row>
    <row r="340" ht="15.75" customHeight="1">
      <c r="A340" s="93"/>
      <c r="B340" s="91"/>
      <c r="C340" s="91"/>
      <c r="D340" s="91"/>
      <c r="E340" s="91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</row>
    <row r="341" ht="15.75" customHeight="1">
      <c r="A341" s="93"/>
      <c r="B341" s="91"/>
      <c r="C341" s="91"/>
      <c r="D341" s="91"/>
      <c r="E341" s="91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</row>
    <row r="342" ht="15.75" customHeight="1">
      <c r="A342" s="93"/>
      <c r="B342" s="91"/>
      <c r="C342" s="91"/>
      <c r="D342" s="91"/>
      <c r="E342" s="91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</row>
    <row r="343" ht="15.75" customHeight="1">
      <c r="A343" s="93"/>
      <c r="B343" s="91"/>
      <c r="C343" s="91"/>
      <c r="D343" s="91"/>
      <c r="E343" s="91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</row>
    <row r="344" ht="15.75" customHeight="1">
      <c r="A344" s="93"/>
      <c r="B344" s="91"/>
      <c r="C344" s="91"/>
      <c r="D344" s="91"/>
      <c r="E344" s="91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</row>
    <row r="345" ht="15.75" customHeight="1">
      <c r="A345" s="93"/>
      <c r="B345" s="91"/>
      <c r="C345" s="91"/>
      <c r="D345" s="91"/>
      <c r="E345" s="91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</row>
    <row r="346" ht="15.75" customHeight="1">
      <c r="A346" s="93"/>
      <c r="B346" s="91"/>
      <c r="C346" s="91"/>
      <c r="D346" s="91"/>
      <c r="E346" s="91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</row>
    <row r="347" ht="15.75" customHeight="1">
      <c r="A347" s="93"/>
      <c r="B347" s="91"/>
      <c r="C347" s="91"/>
      <c r="D347" s="91"/>
      <c r="E347" s="91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</row>
    <row r="348" ht="15.75" customHeight="1">
      <c r="A348" s="93"/>
      <c r="B348" s="91"/>
      <c r="C348" s="91"/>
      <c r="D348" s="91"/>
      <c r="E348" s="91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</row>
    <row r="349" ht="15.75" customHeight="1">
      <c r="A349" s="93"/>
      <c r="B349" s="91"/>
      <c r="C349" s="91"/>
      <c r="D349" s="91"/>
      <c r="E349" s="91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</row>
    <row r="350" ht="15.75" customHeight="1">
      <c r="A350" s="93"/>
      <c r="B350" s="91"/>
      <c r="C350" s="91"/>
      <c r="D350" s="91"/>
      <c r="E350" s="91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</row>
    <row r="351" ht="15.75" customHeight="1">
      <c r="A351" s="93"/>
      <c r="B351" s="91"/>
      <c r="C351" s="91"/>
      <c r="D351" s="91"/>
      <c r="E351" s="91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</row>
    <row r="352" ht="15.75" customHeight="1">
      <c r="A352" s="93"/>
      <c r="B352" s="91"/>
      <c r="C352" s="91"/>
      <c r="D352" s="91"/>
      <c r="E352" s="91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</row>
    <row r="353" ht="15.75" customHeight="1">
      <c r="A353" s="93"/>
      <c r="B353" s="91"/>
      <c r="C353" s="91"/>
      <c r="D353" s="91"/>
      <c r="E353" s="91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</row>
    <row r="354" ht="15.75" customHeight="1">
      <c r="A354" s="93"/>
      <c r="B354" s="91"/>
      <c r="C354" s="91"/>
      <c r="D354" s="91"/>
      <c r="E354" s="91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</row>
    <row r="355" ht="15.75" customHeight="1">
      <c r="A355" s="93"/>
      <c r="B355" s="91"/>
      <c r="C355" s="91"/>
      <c r="D355" s="91"/>
      <c r="E355" s="91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</row>
    <row r="356" ht="15.75" customHeight="1">
      <c r="A356" s="93"/>
      <c r="B356" s="91"/>
      <c r="C356" s="91"/>
      <c r="D356" s="91"/>
      <c r="E356" s="91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</row>
    <row r="357" ht="15.75" customHeight="1">
      <c r="A357" s="93"/>
      <c r="B357" s="91"/>
      <c r="C357" s="91"/>
      <c r="D357" s="91"/>
      <c r="E357" s="91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</row>
    <row r="358" ht="15.75" customHeight="1">
      <c r="A358" s="93"/>
      <c r="B358" s="91"/>
      <c r="C358" s="91"/>
      <c r="D358" s="91"/>
      <c r="E358" s="91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</row>
    <row r="359" ht="15.75" customHeight="1">
      <c r="A359" s="93"/>
      <c r="B359" s="91"/>
      <c r="C359" s="91"/>
      <c r="D359" s="91"/>
      <c r="E359" s="91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</row>
    <row r="360" ht="15.75" customHeight="1">
      <c r="A360" s="93"/>
      <c r="B360" s="91"/>
      <c r="C360" s="91"/>
      <c r="D360" s="91"/>
      <c r="E360" s="91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</row>
    <row r="361" ht="15.75" customHeight="1">
      <c r="A361" s="93"/>
      <c r="B361" s="91"/>
      <c r="C361" s="91"/>
      <c r="D361" s="91"/>
      <c r="E361" s="91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</row>
    <row r="362" ht="15.75" customHeight="1">
      <c r="A362" s="93"/>
      <c r="B362" s="91"/>
      <c r="C362" s="91"/>
      <c r="D362" s="91"/>
      <c r="E362" s="91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</row>
    <row r="363" ht="15.75" customHeight="1">
      <c r="A363" s="93"/>
      <c r="B363" s="91"/>
      <c r="C363" s="91"/>
      <c r="D363" s="91"/>
      <c r="E363" s="91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</row>
    <row r="364" ht="15.75" customHeight="1">
      <c r="A364" s="93"/>
      <c r="B364" s="91"/>
      <c r="C364" s="91"/>
      <c r="D364" s="91"/>
      <c r="E364" s="91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</row>
    <row r="365" ht="15.75" customHeight="1">
      <c r="A365" s="93"/>
      <c r="B365" s="91"/>
      <c r="C365" s="91"/>
      <c r="D365" s="91"/>
      <c r="E365" s="91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</row>
    <row r="366" ht="15.75" customHeight="1">
      <c r="A366" s="93"/>
      <c r="B366" s="91"/>
      <c r="C366" s="91"/>
      <c r="D366" s="91"/>
      <c r="E366" s="91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</row>
    <row r="367" ht="15.75" customHeight="1">
      <c r="A367" s="93"/>
      <c r="B367" s="91"/>
      <c r="C367" s="91"/>
      <c r="D367" s="91"/>
      <c r="E367" s="91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</row>
    <row r="368" ht="15.75" customHeight="1">
      <c r="A368" s="93"/>
      <c r="B368" s="91"/>
      <c r="C368" s="91"/>
      <c r="D368" s="91"/>
      <c r="E368" s="91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</row>
    <row r="369" ht="15.75" customHeight="1">
      <c r="A369" s="93"/>
      <c r="B369" s="91"/>
      <c r="C369" s="91"/>
      <c r="D369" s="91"/>
      <c r="E369" s="91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</row>
    <row r="370" ht="15.75" customHeight="1">
      <c r="A370" s="93"/>
      <c r="B370" s="91"/>
      <c r="C370" s="91"/>
      <c r="D370" s="91"/>
      <c r="E370" s="91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</row>
    <row r="371" ht="15.75" customHeight="1">
      <c r="A371" s="93"/>
      <c r="B371" s="91"/>
      <c r="C371" s="91"/>
      <c r="D371" s="91"/>
      <c r="E371" s="91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</row>
    <row r="372" ht="15.75" customHeight="1">
      <c r="A372" s="93"/>
      <c r="B372" s="91"/>
      <c r="C372" s="91"/>
      <c r="D372" s="91"/>
      <c r="E372" s="91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</row>
    <row r="373" ht="15.75" customHeight="1">
      <c r="A373" s="93"/>
      <c r="B373" s="91"/>
      <c r="C373" s="91"/>
      <c r="D373" s="91"/>
      <c r="E373" s="91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</row>
    <row r="374" ht="15.75" customHeight="1">
      <c r="A374" s="93"/>
      <c r="B374" s="91"/>
      <c r="C374" s="91"/>
      <c r="D374" s="91"/>
      <c r="E374" s="91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</row>
    <row r="375" ht="15.75" customHeight="1">
      <c r="A375" s="93"/>
      <c r="B375" s="91"/>
      <c r="C375" s="91"/>
      <c r="D375" s="91"/>
      <c r="E375" s="91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</row>
    <row r="376" ht="15.75" customHeight="1">
      <c r="A376" s="93"/>
      <c r="B376" s="91"/>
      <c r="C376" s="91"/>
      <c r="D376" s="91"/>
      <c r="E376" s="91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</row>
    <row r="377" ht="15.75" customHeight="1">
      <c r="A377" s="93"/>
      <c r="B377" s="91"/>
      <c r="C377" s="91"/>
      <c r="D377" s="91"/>
      <c r="E377" s="91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</row>
    <row r="378" ht="15.75" customHeight="1">
      <c r="A378" s="93"/>
      <c r="B378" s="91"/>
      <c r="C378" s="91"/>
      <c r="D378" s="91"/>
      <c r="E378" s="91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</row>
    <row r="379" ht="15.75" customHeight="1">
      <c r="A379" s="93"/>
      <c r="B379" s="91"/>
      <c r="C379" s="91"/>
      <c r="D379" s="91"/>
      <c r="E379" s="91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</row>
    <row r="380" ht="15.75" customHeight="1">
      <c r="A380" s="93"/>
      <c r="B380" s="91"/>
      <c r="C380" s="91"/>
      <c r="D380" s="91"/>
      <c r="E380" s="91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</row>
    <row r="381" ht="15.75" customHeight="1">
      <c r="A381" s="93"/>
      <c r="B381" s="91"/>
      <c r="C381" s="91"/>
      <c r="D381" s="91"/>
      <c r="E381" s="91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</row>
    <row r="382" ht="15.75" customHeight="1">
      <c r="A382" s="93"/>
      <c r="B382" s="91"/>
      <c r="C382" s="91"/>
      <c r="D382" s="91"/>
      <c r="E382" s="91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</row>
    <row r="383" ht="15.75" customHeight="1">
      <c r="A383" s="93"/>
      <c r="B383" s="91"/>
      <c r="C383" s="91"/>
      <c r="D383" s="91"/>
      <c r="E383" s="91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</row>
    <row r="384" ht="15.75" customHeight="1">
      <c r="A384" s="93"/>
      <c r="B384" s="91"/>
      <c r="C384" s="91"/>
      <c r="D384" s="91"/>
      <c r="E384" s="91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</row>
    <row r="385" ht="15.75" customHeight="1">
      <c r="A385" s="93"/>
      <c r="B385" s="91"/>
      <c r="C385" s="91"/>
      <c r="D385" s="91"/>
      <c r="E385" s="91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</row>
    <row r="386" ht="15.75" customHeight="1">
      <c r="A386" s="93"/>
      <c r="B386" s="91"/>
      <c r="C386" s="91"/>
      <c r="D386" s="91"/>
      <c r="E386" s="91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</row>
    <row r="387" ht="15.75" customHeight="1">
      <c r="A387" s="93"/>
      <c r="B387" s="91"/>
      <c r="C387" s="91"/>
      <c r="D387" s="91"/>
      <c r="E387" s="91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</row>
    <row r="388" ht="15.75" customHeight="1">
      <c r="A388" s="93"/>
      <c r="B388" s="91"/>
      <c r="C388" s="91"/>
      <c r="D388" s="91"/>
      <c r="E388" s="91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</row>
    <row r="389" ht="15.75" customHeight="1">
      <c r="A389" s="93"/>
      <c r="B389" s="91"/>
      <c r="C389" s="91"/>
      <c r="D389" s="91"/>
      <c r="E389" s="91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</row>
    <row r="390" ht="15.75" customHeight="1">
      <c r="A390" s="93"/>
      <c r="B390" s="91"/>
      <c r="C390" s="91"/>
      <c r="D390" s="91"/>
      <c r="E390" s="91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</row>
    <row r="391" ht="15.75" customHeight="1">
      <c r="A391" s="93"/>
      <c r="B391" s="91"/>
      <c r="C391" s="91"/>
      <c r="D391" s="91"/>
      <c r="E391" s="91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</row>
    <row r="392" ht="15.75" customHeight="1">
      <c r="A392" s="93"/>
      <c r="B392" s="91"/>
      <c r="C392" s="91"/>
      <c r="D392" s="91"/>
      <c r="E392" s="91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</row>
    <row r="393" ht="15.75" customHeight="1">
      <c r="A393" s="93"/>
      <c r="B393" s="91"/>
      <c r="C393" s="91"/>
      <c r="D393" s="91"/>
      <c r="E393" s="91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</row>
    <row r="394" ht="15.75" customHeight="1">
      <c r="A394" s="93"/>
      <c r="B394" s="91"/>
      <c r="C394" s="91"/>
      <c r="D394" s="91"/>
      <c r="E394" s="91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</row>
    <row r="395" ht="15.75" customHeight="1">
      <c r="A395" s="93"/>
      <c r="B395" s="91"/>
      <c r="C395" s="91"/>
      <c r="D395" s="91"/>
      <c r="E395" s="91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</row>
    <row r="396" ht="15.75" customHeight="1">
      <c r="A396" s="93"/>
      <c r="B396" s="91"/>
      <c r="C396" s="91"/>
      <c r="D396" s="91"/>
      <c r="E396" s="91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</row>
    <row r="397" ht="15.75" customHeight="1">
      <c r="A397" s="93"/>
      <c r="B397" s="91"/>
      <c r="C397" s="91"/>
      <c r="D397" s="91"/>
      <c r="E397" s="91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</row>
    <row r="398" ht="15.75" customHeight="1">
      <c r="A398" s="93"/>
      <c r="B398" s="91"/>
      <c r="C398" s="91"/>
      <c r="D398" s="91"/>
      <c r="E398" s="91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</row>
    <row r="399" ht="15.75" customHeight="1">
      <c r="A399" s="93"/>
      <c r="B399" s="91"/>
      <c r="C399" s="91"/>
      <c r="D399" s="91"/>
      <c r="E399" s="91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</row>
    <row r="400" ht="15.75" customHeight="1">
      <c r="A400" s="93"/>
      <c r="B400" s="91"/>
      <c r="C400" s="91"/>
      <c r="D400" s="91"/>
      <c r="E400" s="91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</row>
    <row r="401" ht="15.75" customHeight="1">
      <c r="A401" s="93"/>
      <c r="B401" s="91"/>
      <c r="C401" s="91"/>
      <c r="D401" s="91"/>
      <c r="E401" s="91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</row>
    <row r="402" ht="15.75" customHeight="1">
      <c r="A402" s="93"/>
      <c r="B402" s="91"/>
      <c r="C402" s="91"/>
      <c r="D402" s="91"/>
      <c r="E402" s="91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</row>
    <row r="403" ht="15.75" customHeight="1">
      <c r="A403" s="93"/>
      <c r="B403" s="91"/>
      <c r="C403" s="91"/>
      <c r="D403" s="91"/>
      <c r="E403" s="91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</row>
    <row r="404" ht="15.75" customHeight="1">
      <c r="A404" s="93"/>
      <c r="B404" s="91"/>
      <c r="C404" s="91"/>
      <c r="D404" s="91"/>
      <c r="E404" s="91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</row>
    <row r="405" ht="15.75" customHeight="1">
      <c r="A405" s="93"/>
      <c r="B405" s="91"/>
      <c r="C405" s="91"/>
      <c r="D405" s="91"/>
      <c r="E405" s="91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</row>
    <row r="406" ht="15.75" customHeight="1">
      <c r="A406" s="93"/>
      <c r="B406" s="91"/>
      <c r="C406" s="91"/>
      <c r="D406" s="91"/>
      <c r="E406" s="91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</row>
    <row r="407" ht="15.75" customHeight="1">
      <c r="A407" s="93"/>
      <c r="B407" s="91"/>
      <c r="C407" s="91"/>
      <c r="D407" s="91"/>
      <c r="E407" s="91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</row>
    <row r="408" ht="15.75" customHeight="1">
      <c r="A408" s="93"/>
      <c r="B408" s="91"/>
      <c r="C408" s="91"/>
      <c r="D408" s="91"/>
      <c r="E408" s="91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</row>
    <row r="409" ht="15.75" customHeight="1">
      <c r="A409" s="93"/>
      <c r="B409" s="91"/>
      <c r="C409" s="91"/>
      <c r="D409" s="91"/>
      <c r="E409" s="91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</row>
    <row r="410" ht="15.75" customHeight="1">
      <c r="A410" s="93"/>
      <c r="B410" s="91"/>
      <c r="C410" s="91"/>
      <c r="D410" s="91"/>
      <c r="E410" s="91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</row>
    <row r="411" ht="15.75" customHeight="1">
      <c r="A411" s="93"/>
      <c r="B411" s="91"/>
      <c r="C411" s="91"/>
      <c r="D411" s="91"/>
      <c r="E411" s="91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</row>
    <row r="412" ht="15.75" customHeight="1">
      <c r="A412" s="93"/>
      <c r="B412" s="91"/>
      <c r="C412" s="91"/>
      <c r="D412" s="91"/>
      <c r="E412" s="91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</row>
    <row r="413" ht="15.75" customHeight="1">
      <c r="A413" s="93"/>
      <c r="B413" s="91"/>
      <c r="C413" s="91"/>
      <c r="D413" s="91"/>
      <c r="E413" s="91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</row>
    <row r="414" ht="15.75" customHeight="1">
      <c r="A414" s="93"/>
      <c r="B414" s="91"/>
      <c r="C414" s="91"/>
      <c r="D414" s="91"/>
      <c r="E414" s="91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</row>
    <row r="415" ht="15.75" customHeight="1">
      <c r="A415" s="93"/>
      <c r="B415" s="91"/>
      <c r="C415" s="91"/>
      <c r="D415" s="91"/>
      <c r="E415" s="91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</row>
    <row r="416" ht="15.75" customHeight="1">
      <c r="A416" s="93"/>
      <c r="B416" s="91"/>
      <c r="C416" s="91"/>
      <c r="D416" s="91"/>
      <c r="E416" s="91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</row>
    <row r="417" ht="15.75" customHeight="1">
      <c r="A417" s="93"/>
      <c r="B417" s="91"/>
      <c r="C417" s="91"/>
      <c r="D417" s="91"/>
      <c r="E417" s="91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</row>
    <row r="418" ht="15.75" customHeight="1">
      <c r="A418" s="93"/>
      <c r="B418" s="91"/>
      <c r="C418" s="91"/>
      <c r="D418" s="91"/>
      <c r="E418" s="91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</row>
    <row r="419" ht="15.75" customHeight="1">
      <c r="A419" s="93"/>
      <c r="B419" s="91"/>
      <c r="C419" s="91"/>
      <c r="D419" s="91"/>
      <c r="E419" s="91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</row>
    <row r="420" ht="15.75" customHeight="1">
      <c r="A420" s="93"/>
      <c r="B420" s="91"/>
      <c r="C420" s="91"/>
      <c r="D420" s="91"/>
      <c r="E420" s="91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</row>
    <row r="421" ht="15.75" customHeight="1">
      <c r="A421" s="93"/>
      <c r="B421" s="91"/>
      <c r="C421" s="91"/>
      <c r="D421" s="91"/>
      <c r="E421" s="91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</row>
    <row r="422" ht="15.75" customHeight="1">
      <c r="A422" s="93"/>
      <c r="B422" s="91"/>
      <c r="C422" s="91"/>
      <c r="D422" s="91"/>
      <c r="E422" s="91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</row>
    <row r="423" ht="15.75" customHeight="1">
      <c r="A423" s="93"/>
      <c r="B423" s="91"/>
      <c r="C423" s="91"/>
      <c r="D423" s="91"/>
      <c r="E423" s="91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</row>
    <row r="424" ht="15.75" customHeight="1">
      <c r="A424" s="93"/>
      <c r="B424" s="91"/>
      <c r="C424" s="91"/>
      <c r="D424" s="91"/>
      <c r="E424" s="91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</row>
    <row r="425" ht="15.75" customHeight="1">
      <c r="A425" s="93"/>
      <c r="B425" s="91"/>
      <c r="C425" s="91"/>
      <c r="D425" s="91"/>
      <c r="E425" s="91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</row>
    <row r="426" ht="15.75" customHeight="1">
      <c r="A426" s="93"/>
      <c r="B426" s="91"/>
      <c r="C426" s="91"/>
      <c r="D426" s="91"/>
      <c r="E426" s="91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</row>
    <row r="427" ht="15.75" customHeight="1">
      <c r="A427" s="93"/>
      <c r="B427" s="91"/>
      <c r="C427" s="91"/>
      <c r="D427" s="91"/>
      <c r="E427" s="91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</row>
    <row r="428" ht="15.75" customHeight="1">
      <c r="A428" s="93"/>
      <c r="B428" s="91"/>
      <c r="C428" s="91"/>
      <c r="D428" s="91"/>
      <c r="E428" s="91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</row>
    <row r="429" ht="15.75" customHeight="1">
      <c r="A429" s="93"/>
      <c r="B429" s="91"/>
      <c r="C429" s="91"/>
      <c r="D429" s="91"/>
      <c r="E429" s="91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</row>
    <row r="430" ht="15.75" customHeight="1">
      <c r="A430" s="93"/>
      <c r="B430" s="91"/>
      <c r="C430" s="91"/>
      <c r="D430" s="91"/>
      <c r="E430" s="91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</row>
    <row r="431" ht="15.75" customHeight="1">
      <c r="A431" s="93"/>
      <c r="B431" s="91"/>
      <c r="C431" s="91"/>
      <c r="D431" s="91"/>
      <c r="E431" s="91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</row>
    <row r="432" ht="15.75" customHeight="1">
      <c r="A432" s="93"/>
      <c r="B432" s="91"/>
      <c r="C432" s="91"/>
      <c r="D432" s="91"/>
      <c r="E432" s="91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</row>
    <row r="433" ht="15.75" customHeight="1">
      <c r="A433" s="93"/>
      <c r="B433" s="91"/>
      <c r="C433" s="91"/>
      <c r="D433" s="91"/>
      <c r="E433" s="91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</row>
    <row r="434" ht="15.75" customHeight="1">
      <c r="A434" s="93"/>
      <c r="B434" s="91"/>
      <c r="C434" s="91"/>
      <c r="D434" s="91"/>
      <c r="E434" s="91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</row>
    <row r="435" ht="15.75" customHeight="1">
      <c r="A435" s="93"/>
      <c r="B435" s="91"/>
      <c r="C435" s="91"/>
      <c r="D435" s="91"/>
      <c r="E435" s="91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</row>
    <row r="436" ht="15.75" customHeight="1">
      <c r="A436" s="93"/>
      <c r="B436" s="91"/>
      <c r="C436" s="91"/>
      <c r="D436" s="91"/>
      <c r="E436" s="91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</row>
    <row r="437" ht="15.75" customHeight="1">
      <c r="A437" s="93"/>
      <c r="B437" s="91"/>
      <c r="C437" s="91"/>
      <c r="D437" s="91"/>
      <c r="E437" s="91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</row>
    <row r="438" ht="15.75" customHeight="1">
      <c r="A438" s="93"/>
      <c r="B438" s="91"/>
      <c r="C438" s="91"/>
      <c r="D438" s="91"/>
      <c r="E438" s="91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</row>
    <row r="439" ht="15.75" customHeight="1">
      <c r="A439" s="93"/>
      <c r="B439" s="91"/>
      <c r="C439" s="91"/>
      <c r="D439" s="91"/>
      <c r="E439" s="91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</row>
    <row r="440" ht="15.75" customHeight="1">
      <c r="A440" s="93"/>
      <c r="B440" s="91"/>
      <c r="C440" s="91"/>
      <c r="D440" s="91"/>
      <c r="E440" s="91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</row>
    <row r="441" ht="15.75" customHeight="1">
      <c r="A441" s="93"/>
      <c r="B441" s="91"/>
      <c r="C441" s="91"/>
      <c r="D441" s="91"/>
      <c r="E441" s="91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</row>
    <row r="442" ht="15.75" customHeight="1">
      <c r="A442" s="93"/>
      <c r="B442" s="91"/>
      <c r="C442" s="91"/>
      <c r="D442" s="91"/>
      <c r="E442" s="91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</row>
    <row r="443" ht="15.75" customHeight="1">
      <c r="A443" s="93"/>
      <c r="B443" s="91"/>
      <c r="C443" s="91"/>
      <c r="D443" s="91"/>
      <c r="E443" s="91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</row>
    <row r="444" ht="15.75" customHeight="1">
      <c r="A444" s="93"/>
      <c r="B444" s="91"/>
      <c r="C444" s="91"/>
      <c r="D444" s="91"/>
      <c r="E444" s="91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</row>
    <row r="445" ht="15.75" customHeight="1">
      <c r="A445" s="93"/>
      <c r="B445" s="91"/>
      <c r="C445" s="91"/>
      <c r="D445" s="91"/>
      <c r="E445" s="91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</row>
    <row r="446" ht="15.75" customHeight="1">
      <c r="A446" s="93"/>
      <c r="B446" s="91"/>
      <c r="C446" s="91"/>
      <c r="D446" s="91"/>
      <c r="E446" s="91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</row>
    <row r="447" ht="15.75" customHeight="1">
      <c r="A447" s="93"/>
      <c r="B447" s="91"/>
      <c r="C447" s="91"/>
      <c r="D447" s="91"/>
      <c r="E447" s="91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</row>
    <row r="448" ht="15.75" customHeight="1">
      <c r="A448" s="93"/>
      <c r="B448" s="91"/>
      <c r="C448" s="91"/>
      <c r="D448" s="91"/>
      <c r="E448" s="91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</row>
    <row r="449" ht="15.75" customHeight="1">
      <c r="A449" s="93"/>
      <c r="B449" s="91"/>
      <c r="C449" s="91"/>
      <c r="D449" s="91"/>
      <c r="E449" s="91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</row>
    <row r="450" ht="15.75" customHeight="1">
      <c r="A450" s="93"/>
      <c r="B450" s="91"/>
      <c r="C450" s="91"/>
      <c r="D450" s="91"/>
      <c r="E450" s="91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</row>
    <row r="451" ht="15.75" customHeight="1">
      <c r="A451" s="93"/>
      <c r="B451" s="91"/>
      <c r="C451" s="91"/>
      <c r="D451" s="91"/>
      <c r="E451" s="91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</row>
    <row r="452" ht="15.75" customHeight="1">
      <c r="A452" s="93"/>
      <c r="B452" s="91"/>
      <c r="C452" s="91"/>
      <c r="D452" s="91"/>
      <c r="E452" s="91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</row>
    <row r="453" ht="15.75" customHeight="1">
      <c r="A453" s="93"/>
      <c r="B453" s="91"/>
      <c r="C453" s="91"/>
      <c r="D453" s="91"/>
      <c r="E453" s="91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</row>
    <row r="454" ht="15.75" customHeight="1">
      <c r="A454" s="93"/>
      <c r="B454" s="91"/>
      <c r="C454" s="91"/>
      <c r="D454" s="91"/>
      <c r="E454" s="91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</row>
    <row r="455" ht="15.75" customHeight="1">
      <c r="A455" s="93"/>
      <c r="B455" s="91"/>
      <c r="C455" s="91"/>
      <c r="D455" s="91"/>
      <c r="E455" s="91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</row>
    <row r="456" ht="15.75" customHeight="1">
      <c r="A456" s="93"/>
      <c r="B456" s="91"/>
      <c r="C456" s="91"/>
      <c r="D456" s="91"/>
      <c r="E456" s="91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</row>
    <row r="457" ht="15.75" customHeight="1">
      <c r="A457" s="93"/>
      <c r="B457" s="91"/>
      <c r="C457" s="91"/>
      <c r="D457" s="91"/>
      <c r="E457" s="91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</row>
    <row r="458" ht="15.75" customHeight="1">
      <c r="A458" s="93"/>
      <c r="B458" s="91"/>
      <c r="C458" s="91"/>
      <c r="D458" s="91"/>
      <c r="E458" s="91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</row>
    <row r="459" ht="15.75" customHeight="1">
      <c r="A459" s="93"/>
      <c r="B459" s="91"/>
      <c r="C459" s="91"/>
      <c r="D459" s="91"/>
      <c r="E459" s="91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</row>
    <row r="460" ht="15.75" customHeight="1">
      <c r="A460" s="93"/>
      <c r="B460" s="91"/>
      <c r="C460" s="91"/>
      <c r="D460" s="91"/>
      <c r="E460" s="91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</row>
    <row r="461" ht="15.75" customHeight="1">
      <c r="A461" s="93"/>
      <c r="B461" s="91"/>
      <c r="C461" s="91"/>
      <c r="D461" s="91"/>
      <c r="E461" s="91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</row>
    <row r="462" ht="15.75" customHeight="1">
      <c r="A462" s="93"/>
      <c r="B462" s="91"/>
      <c r="C462" s="91"/>
      <c r="D462" s="91"/>
      <c r="E462" s="91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</row>
    <row r="463" ht="15.75" customHeight="1">
      <c r="A463" s="93"/>
      <c r="B463" s="91"/>
      <c r="C463" s="91"/>
      <c r="D463" s="91"/>
      <c r="E463" s="91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</row>
    <row r="464" ht="15.75" customHeight="1">
      <c r="A464" s="93"/>
      <c r="B464" s="91"/>
      <c r="C464" s="91"/>
      <c r="D464" s="91"/>
      <c r="E464" s="91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</row>
    <row r="465" ht="15.75" customHeight="1">
      <c r="A465" s="93"/>
      <c r="B465" s="91"/>
      <c r="C465" s="91"/>
      <c r="D465" s="91"/>
      <c r="E465" s="91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</row>
    <row r="466" ht="15.75" customHeight="1">
      <c r="A466" s="93"/>
      <c r="B466" s="91"/>
      <c r="C466" s="91"/>
      <c r="D466" s="91"/>
      <c r="E466" s="91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</row>
    <row r="467" ht="15.75" customHeight="1">
      <c r="A467" s="93"/>
      <c r="B467" s="91"/>
      <c r="C467" s="91"/>
      <c r="D467" s="91"/>
      <c r="E467" s="91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</row>
    <row r="468" ht="15.75" customHeight="1">
      <c r="A468" s="93"/>
      <c r="B468" s="91"/>
      <c r="C468" s="91"/>
      <c r="D468" s="91"/>
      <c r="E468" s="91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</row>
    <row r="469" ht="15.75" customHeight="1">
      <c r="A469" s="93"/>
      <c r="B469" s="91"/>
      <c r="C469" s="91"/>
      <c r="D469" s="91"/>
      <c r="E469" s="91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</row>
    <row r="470" ht="15.75" customHeight="1">
      <c r="A470" s="93"/>
      <c r="B470" s="91"/>
      <c r="C470" s="91"/>
      <c r="D470" s="91"/>
      <c r="E470" s="91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</row>
    <row r="471" ht="15.75" customHeight="1">
      <c r="A471" s="93"/>
      <c r="B471" s="91"/>
      <c r="C471" s="91"/>
      <c r="D471" s="91"/>
      <c r="E471" s="91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</row>
    <row r="472" ht="15.75" customHeight="1">
      <c r="A472" s="93"/>
      <c r="B472" s="91"/>
      <c r="C472" s="91"/>
      <c r="D472" s="91"/>
      <c r="E472" s="91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</row>
    <row r="473" ht="15.75" customHeight="1">
      <c r="A473" s="93"/>
      <c r="B473" s="91"/>
      <c r="C473" s="91"/>
      <c r="D473" s="91"/>
      <c r="E473" s="91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</row>
    <row r="474" ht="15.75" customHeight="1">
      <c r="A474" s="93"/>
      <c r="B474" s="91"/>
      <c r="C474" s="91"/>
      <c r="D474" s="91"/>
      <c r="E474" s="91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</row>
    <row r="475" ht="15.75" customHeight="1">
      <c r="A475" s="93"/>
      <c r="B475" s="91"/>
      <c r="C475" s="91"/>
      <c r="D475" s="91"/>
      <c r="E475" s="91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</row>
    <row r="476" ht="15.75" customHeight="1">
      <c r="A476" s="93"/>
      <c r="B476" s="91"/>
      <c r="C476" s="91"/>
      <c r="D476" s="91"/>
      <c r="E476" s="91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</row>
    <row r="477" ht="15.75" customHeight="1">
      <c r="A477" s="93"/>
      <c r="B477" s="91"/>
      <c r="C477" s="91"/>
      <c r="D477" s="91"/>
      <c r="E477" s="91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</row>
    <row r="478" ht="15.75" customHeight="1">
      <c r="A478" s="93"/>
      <c r="B478" s="91"/>
      <c r="C478" s="91"/>
      <c r="D478" s="91"/>
      <c r="E478" s="91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</row>
    <row r="479" ht="15.75" customHeight="1">
      <c r="A479" s="93"/>
      <c r="B479" s="91"/>
      <c r="C479" s="91"/>
      <c r="D479" s="91"/>
      <c r="E479" s="91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</row>
    <row r="480" ht="15.75" customHeight="1">
      <c r="A480" s="93"/>
      <c r="B480" s="91"/>
      <c r="C480" s="91"/>
      <c r="D480" s="91"/>
      <c r="E480" s="91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</row>
    <row r="481" ht="15.75" customHeight="1">
      <c r="A481" s="93"/>
      <c r="B481" s="91"/>
      <c r="C481" s="91"/>
      <c r="D481" s="91"/>
      <c r="E481" s="91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</row>
    <row r="482" ht="15.75" customHeight="1">
      <c r="A482" s="93"/>
      <c r="B482" s="91"/>
      <c r="C482" s="91"/>
      <c r="D482" s="91"/>
      <c r="E482" s="91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</row>
    <row r="483" ht="15.75" customHeight="1">
      <c r="A483" s="93"/>
      <c r="B483" s="91"/>
      <c r="C483" s="91"/>
      <c r="D483" s="91"/>
      <c r="E483" s="91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</row>
    <row r="484" ht="15.75" customHeight="1">
      <c r="A484" s="93"/>
      <c r="B484" s="91"/>
      <c r="C484" s="91"/>
      <c r="D484" s="91"/>
      <c r="E484" s="91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</row>
    <row r="485" ht="15.75" customHeight="1">
      <c r="A485" s="93"/>
      <c r="B485" s="91"/>
      <c r="C485" s="91"/>
      <c r="D485" s="91"/>
      <c r="E485" s="91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</row>
    <row r="486" ht="15.75" customHeight="1">
      <c r="A486" s="93"/>
      <c r="B486" s="91"/>
      <c r="C486" s="91"/>
      <c r="D486" s="91"/>
      <c r="E486" s="91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</row>
    <row r="487" ht="15.75" customHeight="1">
      <c r="A487" s="93"/>
      <c r="B487" s="91"/>
      <c r="C487" s="91"/>
      <c r="D487" s="91"/>
      <c r="E487" s="91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</row>
    <row r="488" ht="15.75" customHeight="1">
      <c r="A488" s="93"/>
      <c r="B488" s="91"/>
      <c r="C488" s="91"/>
      <c r="D488" s="91"/>
      <c r="E488" s="91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</row>
    <row r="489" ht="15.75" customHeight="1">
      <c r="A489" s="93"/>
      <c r="B489" s="91"/>
      <c r="C489" s="91"/>
      <c r="D489" s="91"/>
      <c r="E489" s="91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</row>
    <row r="490" ht="15.75" customHeight="1">
      <c r="A490" s="93"/>
      <c r="B490" s="91"/>
      <c r="C490" s="91"/>
      <c r="D490" s="91"/>
      <c r="E490" s="91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</row>
    <row r="491" ht="15.75" customHeight="1">
      <c r="A491" s="93"/>
      <c r="B491" s="91"/>
      <c r="C491" s="91"/>
      <c r="D491" s="91"/>
      <c r="E491" s="91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</row>
    <row r="492" ht="15.75" customHeight="1">
      <c r="A492" s="93"/>
      <c r="B492" s="91"/>
      <c r="C492" s="91"/>
      <c r="D492" s="91"/>
      <c r="E492" s="91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</row>
    <row r="493" ht="15.75" customHeight="1">
      <c r="A493" s="93"/>
      <c r="B493" s="91"/>
      <c r="C493" s="91"/>
      <c r="D493" s="91"/>
      <c r="E493" s="91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</row>
    <row r="494" ht="15.75" customHeight="1">
      <c r="A494" s="93"/>
      <c r="B494" s="91"/>
      <c r="C494" s="91"/>
      <c r="D494" s="91"/>
      <c r="E494" s="91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</row>
    <row r="495" ht="15.75" customHeight="1">
      <c r="A495" s="93"/>
      <c r="B495" s="91"/>
      <c r="C495" s="91"/>
      <c r="D495" s="91"/>
      <c r="E495" s="91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</row>
    <row r="496" ht="15.75" customHeight="1">
      <c r="A496" s="93"/>
      <c r="B496" s="91"/>
      <c r="C496" s="91"/>
      <c r="D496" s="91"/>
      <c r="E496" s="91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</row>
    <row r="497" ht="15.75" customHeight="1">
      <c r="A497" s="93"/>
      <c r="B497" s="91"/>
      <c r="C497" s="91"/>
      <c r="D497" s="91"/>
      <c r="E497" s="91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</row>
    <row r="498" ht="15.75" customHeight="1">
      <c r="A498" s="93"/>
      <c r="B498" s="91"/>
      <c r="C498" s="91"/>
      <c r="D498" s="91"/>
      <c r="E498" s="91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</row>
    <row r="499" ht="15.75" customHeight="1">
      <c r="A499" s="93"/>
      <c r="B499" s="91"/>
      <c r="C499" s="91"/>
      <c r="D499" s="91"/>
      <c r="E499" s="91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</row>
    <row r="500" ht="15.75" customHeight="1">
      <c r="A500" s="93"/>
      <c r="B500" s="91"/>
      <c r="C500" s="91"/>
      <c r="D500" s="91"/>
      <c r="E500" s="91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</row>
    <row r="501" ht="15.75" customHeight="1">
      <c r="A501" s="93"/>
      <c r="B501" s="91"/>
      <c r="C501" s="91"/>
      <c r="D501" s="91"/>
      <c r="E501" s="91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</row>
    <row r="502" ht="15.75" customHeight="1">
      <c r="A502" s="93"/>
      <c r="B502" s="91"/>
      <c r="C502" s="91"/>
      <c r="D502" s="91"/>
      <c r="E502" s="91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</row>
    <row r="503" ht="15.75" customHeight="1">
      <c r="A503" s="93"/>
      <c r="B503" s="91"/>
      <c r="C503" s="91"/>
      <c r="D503" s="91"/>
      <c r="E503" s="91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</row>
    <row r="504" ht="15.75" customHeight="1">
      <c r="A504" s="93"/>
      <c r="B504" s="91"/>
      <c r="C504" s="91"/>
      <c r="D504" s="91"/>
      <c r="E504" s="91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</row>
    <row r="505" ht="15.75" customHeight="1">
      <c r="A505" s="93"/>
      <c r="B505" s="91"/>
      <c r="C505" s="91"/>
      <c r="D505" s="91"/>
      <c r="E505" s="91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</row>
    <row r="506" ht="15.75" customHeight="1">
      <c r="A506" s="93"/>
      <c r="B506" s="91"/>
      <c r="C506" s="91"/>
      <c r="D506" s="91"/>
      <c r="E506" s="91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</row>
    <row r="507" ht="15.75" customHeight="1">
      <c r="A507" s="93"/>
      <c r="B507" s="91"/>
      <c r="C507" s="91"/>
      <c r="D507" s="91"/>
      <c r="E507" s="91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</row>
    <row r="508" ht="15.75" customHeight="1">
      <c r="A508" s="93"/>
      <c r="B508" s="91"/>
      <c r="C508" s="91"/>
      <c r="D508" s="91"/>
      <c r="E508" s="91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</row>
    <row r="509" ht="15.75" customHeight="1">
      <c r="A509" s="93"/>
      <c r="B509" s="91"/>
      <c r="C509" s="91"/>
      <c r="D509" s="91"/>
      <c r="E509" s="91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</row>
    <row r="510" ht="15.75" customHeight="1">
      <c r="A510" s="93"/>
      <c r="B510" s="91"/>
      <c r="C510" s="91"/>
      <c r="D510" s="91"/>
      <c r="E510" s="91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</row>
    <row r="511" ht="15.75" customHeight="1">
      <c r="A511" s="93"/>
      <c r="B511" s="91"/>
      <c r="C511" s="91"/>
      <c r="D511" s="91"/>
      <c r="E511" s="91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</row>
    <row r="512" ht="15.75" customHeight="1">
      <c r="A512" s="93"/>
      <c r="B512" s="91"/>
      <c r="C512" s="91"/>
      <c r="D512" s="91"/>
      <c r="E512" s="91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</row>
    <row r="513" ht="15.75" customHeight="1">
      <c r="A513" s="93"/>
      <c r="B513" s="91"/>
      <c r="C513" s="91"/>
      <c r="D513" s="91"/>
      <c r="E513" s="91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</row>
    <row r="514" ht="15.75" customHeight="1">
      <c r="A514" s="93"/>
      <c r="B514" s="91"/>
      <c r="C514" s="91"/>
      <c r="D514" s="91"/>
      <c r="E514" s="91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</row>
    <row r="515" ht="15.75" customHeight="1">
      <c r="A515" s="93"/>
      <c r="B515" s="91"/>
      <c r="C515" s="91"/>
      <c r="D515" s="91"/>
      <c r="E515" s="91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</row>
    <row r="516" ht="15.75" customHeight="1">
      <c r="A516" s="93"/>
      <c r="B516" s="91"/>
      <c r="C516" s="91"/>
      <c r="D516" s="91"/>
      <c r="E516" s="91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</row>
    <row r="517" ht="15.75" customHeight="1">
      <c r="A517" s="93"/>
      <c r="B517" s="91"/>
      <c r="C517" s="91"/>
      <c r="D517" s="91"/>
      <c r="E517" s="91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</row>
    <row r="518" ht="15.75" customHeight="1">
      <c r="A518" s="93"/>
      <c r="B518" s="91"/>
      <c r="C518" s="91"/>
      <c r="D518" s="91"/>
      <c r="E518" s="91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</row>
    <row r="519" ht="15.75" customHeight="1">
      <c r="A519" s="93"/>
      <c r="B519" s="91"/>
      <c r="C519" s="91"/>
      <c r="D519" s="91"/>
      <c r="E519" s="91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</row>
    <row r="520" ht="15.75" customHeight="1">
      <c r="A520" s="93"/>
      <c r="B520" s="91"/>
      <c r="C520" s="91"/>
      <c r="D520" s="91"/>
      <c r="E520" s="91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</row>
    <row r="521" ht="15.75" customHeight="1">
      <c r="A521" s="93"/>
      <c r="B521" s="91"/>
      <c r="C521" s="91"/>
      <c r="D521" s="91"/>
      <c r="E521" s="91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</row>
    <row r="522" ht="15.75" customHeight="1">
      <c r="A522" s="93"/>
      <c r="B522" s="91"/>
      <c r="C522" s="91"/>
      <c r="D522" s="91"/>
      <c r="E522" s="91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</row>
    <row r="523" ht="15.75" customHeight="1">
      <c r="A523" s="93"/>
      <c r="B523" s="91"/>
      <c r="C523" s="91"/>
      <c r="D523" s="91"/>
      <c r="E523" s="91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</row>
    <row r="524" ht="15.75" customHeight="1">
      <c r="A524" s="93"/>
      <c r="B524" s="91"/>
      <c r="C524" s="91"/>
      <c r="D524" s="91"/>
      <c r="E524" s="91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</row>
    <row r="525" ht="15.75" customHeight="1">
      <c r="A525" s="93"/>
      <c r="B525" s="91"/>
      <c r="C525" s="91"/>
      <c r="D525" s="91"/>
      <c r="E525" s="91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</row>
    <row r="526" ht="15.75" customHeight="1">
      <c r="A526" s="93"/>
      <c r="B526" s="91"/>
      <c r="C526" s="91"/>
      <c r="D526" s="91"/>
      <c r="E526" s="91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</row>
    <row r="527" ht="15.75" customHeight="1">
      <c r="A527" s="93"/>
      <c r="B527" s="91"/>
      <c r="C527" s="91"/>
      <c r="D527" s="91"/>
      <c r="E527" s="91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</row>
    <row r="528" ht="15.75" customHeight="1">
      <c r="A528" s="93"/>
      <c r="B528" s="91"/>
      <c r="C528" s="91"/>
      <c r="D528" s="91"/>
      <c r="E528" s="91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</row>
    <row r="529" ht="15.75" customHeight="1">
      <c r="A529" s="93"/>
      <c r="B529" s="91"/>
      <c r="C529" s="91"/>
      <c r="D529" s="91"/>
      <c r="E529" s="91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</row>
    <row r="530" ht="15.75" customHeight="1">
      <c r="A530" s="93"/>
      <c r="B530" s="91"/>
      <c r="C530" s="91"/>
      <c r="D530" s="91"/>
      <c r="E530" s="91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</row>
    <row r="531" ht="15.75" customHeight="1">
      <c r="A531" s="93"/>
      <c r="B531" s="91"/>
      <c r="C531" s="91"/>
      <c r="D531" s="91"/>
      <c r="E531" s="91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</row>
    <row r="532" ht="15.75" customHeight="1">
      <c r="A532" s="93"/>
      <c r="B532" s="91"/>
      <c r="C532" s="91"/>
      <c r="D532" s="91"/>
      <c r="E532" s="91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</row>
    <row r="533" ht="15.75" customHeight="1">
      <c r="A533" s="93"/>
      <c r="B533" s="91"/>
      <c r="C533" s="91"/>
      <c r="D533" s="91"/>
      <c r="E533" s="91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</row>
    <row r="534" ht="15.75" customHeight="1">
      <c r="A534" s="93"/>
      <c r="B534" s="91"/>
      <c r="C534" s="91"/>
      <c r="D534" s="91"/>
      <c r="E534" s="91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</row>
    <row r="535" ht="15.75" customHeight="1">
      <c r="A535" s="93"/>
      <c r="B535" s="91"/>
      <c r="C535" s="91"/>
      <c r="D535" s="91"/>
      <c r="E535" s="91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</row>
    <row r="536" ht="15.75" customHeight="1">
      <c r="A536" s="93"/>
      <c r="B536" s="91"/>
      <c r="C536" s="91"/>
      <c r="D536" s="91"/>
      <c r="E536" s="91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</row>
    <row r="537" ht="15.75" customHeight="1">
      <c r="A537" s="93"/>
      <c r="B537" s="91"/>
      <c r="C537" s="91"/>
      <c r="D537" s="91"/>
      <c r="E537" s="91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</row>
    <row r="538" ht="15.75" customHeight="1">
      <c r="A538" s="93"/>
      <c r="B538" s="91"/>
      <c r="C538" s="91"/>
      <c r="D538" s="91"/>
      <c r="E538" s="91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</row>
    <row r="539" ht="15.75" customHeight="1">
      <c r="A539" s="93"/>
      <c r="B539" s="91"/>
      <c r="C539" s="91"/>
      <c r="D539" s="91"/>
      <c r="E539" s="91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</row>
    <row r="540" ht="15.75" customHeight="1">
      <c r="A540" s="93"/>
      <c r="B540" s="91"/>
      <c r="C540" s="91"/>
      <c r="D540" s="91"/>
      <c r="E540" s="91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</row>
    <row r="541" ht="15.75" customHeight="1">
      <c r="A541" s="93"/>
      <c r="B541" s="91"/>
      <c r="C541" s="91"/>
      <c r="D541" s="91"/>
      <c r="E541" s="91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</row>
    <row r="542" ht="15.75" customHeight="1">
      <c r="A542" s="93"/>
      <c r="B542" s="91"/>
      <c r="C542" s="91"/>
      <c r="D542" s="91"/>
      <c r="E542" s="91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</row>
    <row r="543" ht="15.75" customHeight="1">
      <c r="A543" s="93"/>
      <c r="B543" s="91"/>
      <c r="C543" s="91"/>
      <c r="D543" s="91"/>
      <c r="E543" s="91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</row>
    <row r="544" ht="15.75" customHeight="1">
      <c r="A544" s="93"/>
      <c r="B544" s="91"/>
      <c r="C544" s="91"/>
      <c r="D544" s="91"/>
      <c r="E544" s="91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</row>
    <row r="545" ht="15.75" customHeight="1">
      <c r="A545" s="93"/>
      <c r="B545" s="91"/>
      <c r="C545" s="91"/>
      <c r="D545" s="91"/>
      <c r="E545" s="91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</row>
    <row r="546" ht="15.75" customHeight="1">
      <c r="A546" s="93"/>
      <c r="B546" s="91"/>
      <c r="C546" s="91"/>
      <c r="D546" s="91"/>
      <c r="E546" s="91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</row>
    <row r="547" ht="15.75" customHeight="1">
      <c r="A547" s="93"/>
      <c r="B547" s="91"/>
      <c r="C547" s="91"/>
      <c r="D547" s="91"/>
      <c r="E547" s="91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</row>
    <row r="548" ht="15.75" customHeight="1">
      <c r="A548" s="93"/>
      <c r="B548" s="91"/>
      <c r="C548" s="91"/>
      <c r="D548" s="91"/>
      <c r="E548" s="91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</row>
    <row r="549" ht="15.75" customHeight="1">
      <c r="A549" s="93"/>
      <c r="B549" s="91"/>
      <c r="C549" s="91"/>
      <c r="D549" s="91"/>
      <c r="E549" s="91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</row>
    <row r="550" ht="15.75" customHeight="1">
      <c r="A550" s="93"/>
      <c r="B550" s="91"/>
      <c r="C550" s="91"/>
      <c r="D550" s="91"/>
      <c r="E550" s="91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</row>
    <row r="551" ht="15.75" customHeight="1">
      <c r="A551" s="93"/>
      <c r="B551" s="91"/>
      <c r="C551" s="91"/>
      <c r="D551" s="91"/>
      <c r="E551" s="91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</row>
    <row r="552" ht="15.75" customHeight="1">
      <c r="A552" s="93"/>
      <c r="B552" s="91"/>
      <c r="C552" s="91"/>
      <c r="D552" s="91"/>
      <c r="E552" s="91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</row>
    <row r="553" ht="15.75" customHeight="1">
      <c r="A553" s="93"/>
      <c r="B553" s="91"/>
      <c r="C553" s="91"/>
      <c r="D553" s="91"/>
      <c r="E553" s="91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</row>
    <row r="554" ht="15.75" customHeight="1">
      <c r="A554" s="93"/>
      <c r="B554" s="91"/>
      <c r="C554" s="91"/>
      <c r="D554" s="91"/>
      <c r="E554" s="91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</row>
    <row r="555" ht="15.75" customHeight="1">
      <c r="A555" s="93"/>
      <c r="B555" s="91"/>
      <c r="C555" s="91"/>
      <c r="D555" s="91"/>
      <c r="E555" s="91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</row>
    <row r="556" ht="15.75" customHeight="1">
      <c r="A556" s="93"/>
      <c r="B556" s="91"/>
      <c r="C556" s="91"/>
      <c r="D556" s="91"/>
      <c r="E556" s="91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</row>
    <row r="557" ht="15.75" customHeight="1">
      <c r="A557" s="93"/>
      <c r="B557" s="91"/>
      <c r="C557" s="91"/>
      <c r="D557" s="91"/>
      <c r="E557" s="91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</row>
    <row r="558" ht="15.75" customHeight="1">
      <c r="A558" s="93"/>
      <c r="B558" s="91"/>
      <c r="C558" s="91"/>
      <c r="D558" s="91"/>
      <c r="E558" s="91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</row>
    <row r="559" ht="15.75" customHeight="1">
      <c r="A559" s="93"/>
      <c r="B559" s="91"/>
      <c r="C559" s="91"/>
      <c r="D559" s="91"/>
      <c r="E559" s="91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</row>
    <row r="560" ht="15.75" customHeight="1">
      <c r="A560" s="93"/>
      <c r="B560" s="91"/>
      <c r="C560" s="91"/>
      <c r="D560" s="91"/>
      <c r="E560" s="91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</row>
    <row r="561" ht="15.75" customHeight="1">
      <c r="A561" s="93"/>
      <c r="B561" s="91"/>
      <c r="C561" s="91"/>
      <c r="D561" s="91"/>
      <c r="E561" s="91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</row>
    <row r="562" ht="15.75" customHeight="1">
      <c r="A562" s="93"/>
      <c r="B562" s="91"/>
      <c r="C562" s="91"/>
      <c r="D562" s="91"/>
      <c r="E562" s="91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</row>
    <row r="563" ht="15.75" customHeight="1">
      <c r="A563" s="93"/>
      <c r="B563" s="91"/>
      <c r="C563" s="91"/>
      <c r="D563" s="91"/>
      <c r="E563" s="91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</row>
    <row r="564" ht="15.75" customHeight="1">
      <c r="A564" s="93"/>
      <c r="B564" s="91"/>
      <c r="C564" s="91"/>
      <c r="D564" s="91"/>
      <c r="E564" s="91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</row>
    <row r="565" ht="15.75" customHeight="1">
      <c r="A565" s="93"/>
      <c r="B565" s="91"/>
      <c r="C565" s="91"/>
      <c r="D565" s="91"/>
      <c r="E565" s="91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</row>
    <row r="566" ht="15.75" customHeight="1">
      <c r="A566" s="93"/>
      <c r="B566" s="91"/>
      <c r="C566" s="91"/>
      <c r="D566" s="91"/>
      <c r="E566" s="91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</row>
    <row r="567" ht="15.75" customHeight="1">
      <c r="A567" s="93"/>
      <c r="B567" s="91"/>
      <c r="C567" s="91"/>
      <c r="D567" s="91"/>
      <c r="E567" s="91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</row>
    <row r="568" ht="15.75" customHeight="1">
      <c r="A568" s="93"/>
      <c r="B568" s="91"/>
      <c r="C568" s="91"/>
      <c r="D568" s="91"/>
      <c r="E568" s="91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</row>
    <row r="569" ht="15.75" customHeight="1">
      <c r="A569" s="93"/>
      <c r="B569" s="91"/>
      <c r="C569" s="91"/>
      <c r="D569" s="91"/>
      <c r="E569" s="91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</row>
    <row r="570" ht="15.75" customHeight="1">
      <c r="A570" s="93"/>
      <c r="B570" s="91"/>
      <c r="C570" s="91"/>
      <c r="D570" s="91"/>
      <c r="E570" s="91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</row>
    <row r="571" ht="15.75" customHeight="1">
      <c r="A571" s="93"/>
      <c r="B571" s="91"/>
      <c r="C571" s="91"/>
      <c r="D571" s="91"/>
      <c r="E571" s="91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</row>
    <row r="572" ht="15.75" customHeight="1">
      <c r="A572" s="93"/>
      <c r="B572" s="91"/>
      <c r="C572" s="91"/>
      <c r="D572" s="91"/>
      <c r="E572" s="91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</row>
    <row r="573" ht="15.75" customHeight="1">
      <c r="A573" s="93"/>
      <c r="B573" s="91"/>
      <c r="C573" s="91"/>
      <c r="D573" s="91"/>
      <c r="E573" s="91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</row>
    <row r="574" ht="15.75" customHeight="1">
      <c r="A574" s="93"/>
      <c r="B574" s="91"/>
      <c r="C574" s="91"/>
      <c r="D574" s="91"/>
      <c r="E574" s="91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</row>
    <row r="575" ht="15.75" customHeight="1">
      <c r="A575" s="93"/>
      <c r="B575" s="91"/>
      <c r="C575" s="91"/>
      <c r="D575" s="91"/>
      <c r="E575" s="91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</row>
    <row r="576" ht="15.75" customHeight="1">
      <c r="A576" s="93"/>
      <c r="B576" s="91"/>
      <c r="C576" s="91"/>
      <c r="D576" s="91"/>
      <c r="E576" s="91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</row>
    <row r="577" ht="15.75" customHeight="1">
      <c r="A577" s="93"/>
      <c r="B577" s="91"/>
      <c r="C577" s="91"/>
      <c r="D577" s="91"/>
      <c r="E577" s="91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</row>
    <row r="578" ht="15.75" customHeight="1">
      <c r="A578" s="93"/>
      <c r="B578" s="91"/>
      <c r="C578" s="91"/>
      <c r="D578" s="91"/>
      <c r="E578" s="91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</row>
    <row r="579" ht="15.75" customHeight="1">
      <c r="A579" s="93"/>
      <c r="B579" s="91"/>
      <c r="C579" s="91"/>
      <c r="D579" s="91"/>
      <c r="E579" s="91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</row>
    <row r="580" ht="15.75" customHeight="1">
      <c r="A580" s="93"/>
      <c r="B580" s="91"/>
      <c r="C580" s="91"/>
      <c r="D580" s="91"/>
      <c r="E580" s="91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</row>
    <row r="581" ht="15.75" customHeight="1">
      <c r="A581" s="93"/>
      <c r="B581" s="91"/>
      <c r="C581" s="91"/>
      <c r="D581" s="91"/>
      <c r="E581" s="91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</row>
    <row r="582" ht="15.75" customHeight="1">
      <c r="A582" s="93"/>
      <c r="B582" s="91"/>
      <c r="C582" s="91"/>
      <c r="D582" s="91"/>
      <c r="E582" s="91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</row>
    <row r="583" ht="15.75" customHeight="1">
      <c r="A583" s="93"/>
      <c r="B583" s="91"/>
      <c r="C583" s="91"/>
      <c r="D583" s="91"/>
      <c r="E583" s="91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</row>
    <row r="584" ht="15.75" customHeight="1">
      <c r="A584" s="93"/>
      <c r="B584" s="91"/>
      <c r="C584" s="91"/>
      <c r="D584" s="91"/>
      <c r="E584" s="91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</row>
    <row r="585" ht="15.75" customHeight="1">
      <c r="A585" s="93"/>
      <c r="B585" s="91"/>
      <c r="C585" s="91"/>
      <c r="D585" s="91"/>
      <c r="E585" s="91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</row>
    <row r="586" ht="15.75" customHeight="1">
      <c r="A586" s="93"/>
      <c r="B586" s="91"/>
      <c r="C586" s="91"/>
      <c r="D586" s="91"/>
      <c r="E586" s="91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</row>
    <row r="587" ht="15.75" customHeight="1">
      <c r="A587" s="93"/>
      <c r="B587" s="91"/>
      <c r="C587" s="91"/>
      <c r="D587" s="91"/>
      <c r="E587" s="91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</row>
    <row r="588" ht="15.75" customHeight="1">
      <c r="A588" s="93"/>
      <c r="B588" s="91"/>
      <c r="C588" s="91"/>
      <c r="D588" s="91"/>
      <c r="E588" s="91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</row>
    <row r="589" ht="15.75" customHeight="1">
      <c r="A589" s="93"/>
      <c r="B589" s="91"/>
      <c r="C589" s="91"/>
      <c r="D589" s="91"/>
      <c r="E589" s="91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</row>
    <row r="590" ht="15.75" customHeight="1">
      <c r="A590" s="93"/>
      <c r="B590" s="91"/>
      <c r="C590" s="91"/>
      <c r="D590" s="91"/>
      <c r="E590" s="91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</row>
    <row r="591" ht="15.75" customHeight="1">
      <c r="A591" s="93"/>
      <c r="B591" s="91"/>
      <c r="C591" s="91"/>
      <c r="D591" s="91"/>
      <c r="E591" s="91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</row>
    <row r="592" ht="15.75" customHeight="1">
      <c r="A592" s="93"/>
      <c r="B592" s="91"/>
      <c r="C592" s="91"/>
      <c r="D592" s="91"/>
      <c r="E592" s="91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</row>
    <row r="593" ht="15.75" customHeight="1">
      <c r="A593" s="93"/>
      <c r="B593" s="91"/>
      <c r="C593" s="91"/>
      <c r="D593" s="91"/>
      <c r="E593" s="91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</row>
    <row r="594" ht="15.75" customHeight="1">
      <c r="A594" s="93"/>
      <c r="B594" s="91"/>
      <c r="C594" s="91"/>
      <c r="D594" s="91"/>
      <c r="E594" s="91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</row>
    <row r="595" ht="15.75" customHeight="1">
      <c r="A595" s="93"/>
      <c r="B595" s="91"/>
      <c r="C595" s="91"/>
      <c r="D595" s="91"/>
      <c r="E595" s="91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</row>
    <row r="596" ht="15.75" customHeight="1">
      <c r="A596" s="93"/>
      <c r="B596" s="91"/>
      <c r="C596" s="91"/>
      <c r="D596" s="91"/>
      <c r="E596" s="91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</row>
    <row r="597" ht="15.75" customHeight="1">
      <c r="A597" s="93"/>
      <c r="B597" s="91"/>
      <c r="C597" s="91"/>
      <c r="D597" s="91"/>
      <c r="E597" s="91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</row>
    <row r="598" ht="15.75" customHeight="1">
      <c r="A598" s="93"/>
      <c r="B598" s="91"/>
      <c r="C598" s="91"/>
      <c r="D598" s="91"/>
      <c r="E598" s="91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</row>
    <row r="599" ht="15.75" customHeight="1">
      <c r="A599" s="93"/>
      <c r="B599" s="91"/>
      <c r="C599" s="91"/>
      <c r="D599" s="91"/>
      <c r="E599" s="91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</row>
    <row r="600" ht="15.75" customHeight="1">
      <c r="A600" s="93"/>
      <c r="B600" s="91"/>
      <c r="C600" s="91"/>
      <c r="D600" s="91"/>
      <c r="E600" s="91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</row>
    <row r="601" ht="15.75" customHeight="1">
      <c r="A601" s="93"/>
      <c r="B601" s="91"/>
      <c r="C601" s="91"/>
      <c r="D601" s="91"/>
      <c r="E601" s="91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</row>
    <row r="602" ht="15.75" customHeight="1">
      <c r="A602" s="93"/>
      <c r="B602" s="91"/>
      <c r="C602" s="91"/>
      <c r="D602" s="91"/>
      <c r="E602" s="91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</row>
    <row r="603" ht="15.75" customHeight="1">
      <c r="A603" s="93"/>
      <c r="B603" s="91"/>
      <c r="C603" s="91"/>
      <c r="D603" s="91"/>
      <c r="E603" s="91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</row>
    <row r="604" ht="15.75" customHeight="1">
      <c r="A604" s="93"/>
      <c r="B604" s="91"/>
      <c r="C604" s="91"/>
      <c r="D604" s="91"/>
      <c r="E604" s="91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</row>
    <row r="605" ht="15.75" customHeight="1">
      <c r="A605" s="93"/>
      <c r="B605" s="91"/>
      <c r="C605" s="91"/>
      <c r="D605" s="91"/>
      <c r="E605" s="91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</row>
    <row r="606" ht="15.75" customHeight="1">
      <c r="A606" s="93"/>
      <c r="B606" s="91"/>
      <c r="C606" s="91"/>
      <c r="D606" s="91"/>
      <c r="E606" s="91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</row>
    <row r="607" ht="15.75" customHeight="1">
      <c r="A607" s="93"/>
      <c r="B607" s="91"/>
      <c r="C607" s="91"/>
      <c r="D607" s="91"/>
      <c r="E607" s="91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</row>
    <row r="608" ht="15.75" customHeight="1">
      <c r="A608" s="93"/>
      <c r="B608" s="91"/>
      <c r="C608" s="91"/>
      <c r="D608" s="91"/>
      <c r="E608" s="91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</row>
    <row r="609" ht="15.75" customHeight="1">
      <c r="A609" s="93"/>
      <c r="B609" s="91"/>
      <c r="C609" s="91"/>
      <c r="D609" s="91"/>
      <c r="E609" s="91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</row>
    <row r="610" ht="15.75" customHeight="1">
      <c r="A610" s="93"/>
      <c r="B610" s="91"/>
      <c r="C610" s="91"/>
      <c r="D610" s="91"/>
      <c r="E610" s="91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</row>
    <row r="611" ht="15.75" customHeight="1">
      <c r="A611" s="93"/>
      <c r="B611" s="91"/>
      <c r="C611" s="91"/>
      <c r="D611" s="91"/>
      <c r="E611" s="91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</row>
    <row r="612" ht="15.75" customHeight="1">
      <c r="A612" s="93"/>
      <c r="B612" s="91"/>
      <c r="C612" s="91"/>
      <c r="D612" s="91"/>
      <c r="E612" s="91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</row>
    <row r="613" ht="15.75" customHeight="1">
      <c r="A613" s="93"/>
      <c r="B613" s="91"/>
      <c r="C613" s="91"/>
      <c r="D613" s="91"/>
      <c r="E613" s="91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</row>
    <row r="614" ht="15.75" customHeight="1">
      <c r="A614" s="93"/>
      <c r="B614" s="91"/>
      <c r="C614" s="91"/>
      <c r="D614" s="91"/>
      <c r="E614" s="91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</row>
    <row r="615" ht="15.75" customHeight="1">
      <c r="A615" s="93"/>
      <c r="B615" s="91"/>
      <c r="C615" s="91"/>
      <c r="D615" s="91"/>
      <c r="E615" s="91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</row>
    <row r="616" ht="15.75" customHeight="1">
      <c r="A616" s="93"/>
      <c r="B616" s="91"/>
      <c r="C616" s="91"/>
      <c r="D616" s="91"/>
      <c r="E616" s="91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</row>
    <row r="617" ht="15.75" customHeight="1">
      <c r="A617" s="93"/>
      <c r="B617" s="91"/>
      <c r="C617" s="91"/>
      <c r="D617" s="91"/>
      <c r="E617" s="91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</row>
    <row r="618" ht="15.75" customHeight="1">
      <c r="A618" s="93"/>
      <c r="B618" s="91"/>
      <c r="C618" s="91"/>
      <c r="D618" s="91"/>
      <c r="E618" s="91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</row>
    <row r="619" ht="15.75" customHeight="1">
      <c r="A619" s="93"/>
      <c r="B619" s="91"/>
      <c r="C619" s="91"/>
      <c r="D619" s="91"/>
      <c r="E619" s="91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</row>
    <row r="620" ht="15.75" customHeight="1">
      <c r="A620" s="93"/>
      <c r="B620" s="91"/>
      <c r="C620" s="91"/>
      <c r="D620" s="91"/>
      <c r="E620" s="91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</row>
    <row r="621" ht="15.75" customHeight="1">
      <c r="A621" s="93"/>
      <c r="B621" s="91"/>
      <c r="C621" s="91"/>
      <c r="D621" s="91"/>
      <c r="E621" s="91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</row>
    <row r="622" ht="15.75" customHeight="1">
      <c r="A622" s="93"/>
      <c r="B622" s="91"/>
      <c r="C622" s="91"/>
      <c r="D622" s="91"/>
      <c r="E622" s="91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</row>
    <row r="623" ht="15.75" customHeight="1">
      <c r="A623" s="93"/>
      <c r="B623" s="91"/>
      <c r="C623" s="91"/>
      <c r="D623" s="91"/>
      <c r="E623" s="91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</row>
    <row r="624" ht="15.75" customHeight="1">
      <c r="A624" s="93"/>
      <c r="B624" s="91"/>
      <c r="C624" s="91"/>
      <c r="D624" s="91"/>
      <c r="E624" s="91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</row>
    <row r="625" ht="15.75" customHeight="1">
      <c r="A625" s="93"/>
      <c r="B625" s="91"/>
      <c r="C625" s="91"/>
      <c r="D625" s="91"/>
      <c r="E625" s="91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</row>
    <row r="626" ht="15.75" customHeight="1">
      <c r="A626" s="93"/>
      <c r="B626" s="91"/>
      <c r="C626" s="91"/>
      <c r="D626" s="91"/>
      <c r="E626" s="91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</row>
    <row r="627" ht="15.75" customHeight="1">
      <c r="A627" s="93"/>
      <c r="B627" s="91"/>
      <c r="C627" s="91"/>
      <c r="D627" s="91"/>
      <c r="E627" s="91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</row>
    <row r="628" ht="15.75" customHeight="1">
      <c r="A628" s="93"/>
      <c r="B628" s="91"/>
      <c r="C628" s="91"/>
      <c r="D628" s="91"/>
      <c r="E628" s="91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</row>
    <row r="629" ht="15.75" customHeight="1">
      <c r="A629" s="93"/>
      <c r="B629" s="91"/>
      <c r="C629" s="91"/>
      <c r="D629" s="91"/>
      <c r="E629" s="91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</row>
    <row r="630" ht="15.75" customHeight="1">
      <c r="A630" s="93"/>
      <c r="B630" s="91"/>
      <c r="C630" s="91"/>
      <c r="D630" s="91"/>
      <c r="E630" s="91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</row>
    <row r="631" ht="15.75" customHeight="1">
      <c r="A631" s="93"/>
      <c r="B631" s="91"/>
      <c r="C631" s="91"/>
      <c r="D631" s="91"/>
      <c r="E631" s="91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</row>
    <row r="632" ht="15.75" customHeight="1">
      <c r="A632" s="93"/>
      <c r="B632" s="91"/>
      <c r="C632" s="91"/>
      <c r="D632" s="91"/>
      <c r="E632" s="91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</row>
    <row r="633" ht="15.75" customHeight="1">
      <c r="A633" s="93"/>
      <c r="B633" s="91"/>
      <c r="C633" s="91"/>
      <c r="D633" s="91"/>
      <c r="E633" s="91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</row>
    <row r="634" ht="15.75" customHeight="1">
      <c r="A634" s="93"/>
      <c r="B634" s="91"/>
      <c r="C634" s="91"/>
      <c r="D634" s="91"/>
      <c r="E634" s="91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</row>
    <row r="635" ht="15.75" customHeight="1">
      <c r="A635" s="93"/>
      <c r="B635" s="91"/>
      <c r="C635" s="91"/>
      <c r="D635" s="91"/>
      <c r="E635" s="91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</row>
    <row r="636" ht="15.75" customHeight="1">
      <c r="A636" s="93"/>
      <c r="B636" s="91"/>
      <c r="C636" s="91"/>
      <c r="D636" s="91"/>
      <c r="E636" s="91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</row>
    <row r="637" ht="15.75" customHeight="1">
      <c r="A637" s="93"/>
      <c r="B637" s="91"/>
      <c r="C637" s="91"/>
      <c r="D637" s="91"/>
      <c r="E637" s="91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</row>
    <row r="638" ht="15.75" customHeight="1">
      <c r="A638" s="93"/>
      <c r="B638" s="91"/>
      <c r="C638" s="91"/>
      <c r="D638" s="91"/>
      <c r="E638" s="91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</row>
    <row r="639" ht="15.75" customHeight="1">
      <c r="A639" s="93"/>
      <c r="B639" s="91"/>
      <c r="C639" s="91"/>
      <c r="D639" s="91"/>
      <c r="E639" s="91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</row>
    <row r="640" ht="15.75" customHeight="1">
      <c r="A640" s="93"/>
      <c r="B640" s="91"/>
      <c r="C640" s="91"/>
      <c r="D640" s="91"/>
      <c r="E640" s="91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</row>
    <row r="641" ht="15.75" customHeight="1">
      <c r="A641" s="93"/>
      <c r="B641" s="91"/>
      <c r="C641" s="91"/>
      <c r="D641" s="91"/>
      <c r="E641" s="91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</row>
    <row r="642" ht="15.75" customHeight="1">
      <c r="A642" s="93"/>
      <c r="B642" s="91"/>
      <c r="C642" s="91"/>
      <c r="D642" s="91"/>
      <c r="E642" s="91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</row>
    <row r="643" ht="15.75" customHeight="1">
      <c r="A643" s="93"/>
      <c r="B643" s="91"/>
      <c r="C643" s="91"/>
      <c r="D643" s="91"/>
      <c r="E643" s="91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</row>
    <row r="644" ht="15.75" customHeight="1">
      <c r="A644" s="93"/>
      <c r="B644" s="91"/>
      <c r="C644" s="91"/>
      <c r="D644" s="91"/>
      <c r="E644" s="91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</row>
    <row r="645" ht="15.75" customHeight="1">
      <c r="A645" s="93"/>
      <c r="B645" s="91"/>
      <c r="C645" s="91"/>
      <c r="D645" s="91"/>
      <c r="E645" s="91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</row>
    <row r="646" ht="15.75" customHeight="1">
      <c r="A646" s="93"/>
      <c r="B646" s="91"/>
      <c r="C646" s="91"/>
      <c r="D646" s="91"/>
      <c r="E646" s="91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</row>
    <row r="647" ht="15.75" customHeight="1">
      <c r="A647" s="93"/>
      <c r="B647" s="91"/>
      <c r="C647" s="91"/>
      <c r="D647" s="91"/>
      <c r="E647" s="91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</row>
    <row r="648" ht="15.75" customHeight="1">
      <c r="A648" s="93"/>
      <c r="B648" s="91"/>
      <c r="C648" s="91"/>
      <c r="D648" s="91"/>
      <c r="E648" s="91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</row>
    <row r="649" ht="15.75" customHeight="1">
      <c r="A649" s="93"/>
      <c r="B649" s="91"/>
      <c r="C649" s="91"/>
      <c r="D649" s="91"/>
      <c r="E649" s="91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</row>
    <row r="650" ht="15.75" customHeight="1">
      <c r="A650" s="93"/>
      <c r="B650" s="91"/>
      <c r="C650" s="91"/>
      <c r="D650" s="91"/>
      <c r="E650" s="91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</row>
    <row r="651" ht="15.75" customHeight="1">
      <c r="A651" s="93"/>
      <c r="B651" s="91"/>
      <c r="C651" s="91"/>
      <c r="D651" s="91"/>
      <c r="E651" s="91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</row>
    <row r="652" ht="15.75" customHeight="1">
      <c r="A652" s="93"/>
      <c r="B652" s="91"/>
      <c r="C652" s="91"/>
      <c r="D652" s="91"/>
      <c r="E652" s="91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</row>
    <row r="653" ht="15.75" customHeight="1">
      <c r="A653" s="93"/>
      <c r="B653" s="91"/>
      <c r="C653" s="91"/>
      <c r="D653" s="91"/>
      <c r="E653" s="91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</row>
    <row r="654" ht="15.75" customHeight="1">
      <c r="A654" s="93"/>
      <c r="B654" s="91"/>
      <c r="C654" s="91"/>
      <c r="D654" s="91"/>
      <c r="E654" s="91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</row>
    <row r="655" ht="15.75" customHeight="1">
      <c r="A655" s="93"/>
      <c r="B655" s="91"/>
      <c r="C655" s="91"/>
      <c r="D655" s="91"/>
      <c r="E655" s="91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</row>
    <row r="656" ht="15.75" customHeight="1">
      <c r="A656" s="93"/>
      <c r="B656" s="91"/>
      <c r="C656" s="91"/>
      <c r="D656" s="91"/>
      <c r="E656" s="91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</row>
    <row r="657" ht="15.75" customHeight="1">
      <c r="A657" s="93"/>
      <c r="B657" s="91"/>
      <c r="C657" s="91"/>
      <c r="D657" s="91"/>
      <c r="E657" s="91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</row>
    <row r="658" ht="15.75" customHeight="1">
      <c r="A658" s="93"/>
      <c r="B658" s="91"/>
      <c r="C658" s="91"/>
      <c r="D658" s="91"/>
      <c r="E658" s="91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</row>
    <row r="659" ht="15.75" customHeight="1">
      <c r="A659" s="93"/>
      <c r="B659" s="91"/>
      <c r="C659" s="91"/>
      <c r="D659" s="91"/>
      <c r="E659" s="91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</row>
    <row r="660" ht="15.75" customHeight="1">
      <c r="A660" s="93"/>
      <c r="B660" s="91"/>
      <c r="C660" s="91"/>
      <c r="D660" s="91"/>
      <c r="E660" s="91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</row>
    <row r="661" ht="15.75" customHeight="1">
      <c r="A661" s="93"/>
      <c r="B661" s="91"/>
      <c r="C661" s="91"/>
      <c r="D661" s="91"/>
      <c r="E661" s="91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</row>
    <row r="662" ht="15.75" customHeight="1">
      <c r="A662" s="93"/>
      <c r="B662" s="91"/>
      <c r="C662" s="91"/>
      <c r="D662" s="91"/>
      <c r="E662" s="91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</row>
    <row r="663" ht="15.75" customHeight="1">
      <c r="A663" s="93"/>
      <c r="B663" s="91"/>
      <c r="C663" s="91"/>
      <c r="D663" s="91"/>
      <c r="E663" s="91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</row>
    <row r="664" ht="15.75" customHeight="1">
      <c r="A664" s="93"/>
      <c r="B664" s="91"/>
      <c r="C664" s="91"/>
      <c r="D664" s="91"/>
      <c r="E664" s="91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</row>
    <row r="665" ht="15.75" customHeight="1">
      <c r="A665" s="93"/>
      <c r="B665" s="91"/>
      <c r="C665" s="91"/>
      <c r="D665" s="91"/>
      <c r="E665" s="91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</row>
    <row r="666" ht="15.75" customHeight="1">
      <c r="A666" s="93"/>
      <c r="B666" s="91"/>
      <c r="C666" s="91"/>
      <c r="D666" s="91"/>
      <c r="E666" s="91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</row>
    <row r="667" ht="15.75" customHeight="1">
      <c r="A667" s="93"/>
      <c r="B667" s="91"/>
      <c r="C667" s="91"/>
      <c r="D667" s="91"/>
      <c r="E667" s="91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</row>
    <row r="668" ht="15.75" customHeight="1">
      <c r="A668" s="93"/>
      <c r="B668" s="91"/>
      <c r="C668" s="91"/>
      <c r="D668" s="91"/>
      <c r="E668" s="91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</row>
    <row r="669" ht="15.75" customHeight="1">
      <c r="A669" s="93"/>
      <c r="B669" s="91"/>
      <c r="C669" s="91"/>
      <c r="D669" s="91"/>
      <c r="E669" s="91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</row>
    <row r="670" ht="15.75" customHeight="1">
      <c r="A670" s="93"/>
      <c r="B670" s="91"/>
      <c r="C670" s="91"/>
      <c r="D670" s="91"/>
      <c r="E670" s="91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</row>
    <row r="671" ht="15.75" customHeight="1">
      <c r="A671" s="93"/>
      <c r="B671" s="91"/>
      <c r="C671" s="91"/>
      <c r="D671" s="91"/>
      <c r="E671" s="91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</row>
    <row r="672" ht="15.75" customHeight="1">
      <c r="A672" s="93"/>
      <c r="B672" s="91"/>
      <c r="C672" s="91"/>
      <c r="D672" s="91"/>
      <c r="E672" s="91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</row>
    <row r="673" ht="15.75" customHeight="1">
      <c r="A673" s="93"/>
      <c r="B673" s="91"/>
      <c r="C673" s="91"/>
      <c r="D673" s="91"/>
      <c r="E673" s="91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</row>
    <row r="674" ht="15.75" customHeight="1">
      <c r="A674" s="93"/>
      <c r="B674" s="91"/>
      <c r="C674" s="91"/>
      <c r="D674" s="91"/>
      <c r="E674" s="91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</row>
    <row r="675" ht="15.75" customHeight="1">
      <c r="A675" s="93"/>
      <c r="B675" s="91"/>
      <c r="C675" s="91"/>
      <c r="D675" s="91"/>
      <c r="E675" s="91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</row>
    <row r="676" ht="15.75" customHeight="1">
      <c r="A676" s="93"/>
      <c r="B676" s="91"/>
      <c r="C676" s="91"/>
      <c r="D676" s="91"/>
      <c r="E676" s="91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</row>
    <row r="677" ht="15.75" customHeight="1">
      <c r="A677" s="93"/>
      <c r="B677" s="91"/>
      <c r="C677" s="91"/>
      <c r="D677" s="91"/>
      <c r="E677" s="91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</row>
    <row r="678" ht="15.75" customHeight="1">
      <c r="A678" s="93"/>
      <c r="B678" s="91"/>
      <c r="C678" s="91"/>
      <c r="D678" s="91"/>
      <c r="E678" s="91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</row>
    <row r="679" ht="15.75" customHeight="1">
      <c r="A679" s="93"/>
      <c r="B679" s="91"/>
      <c r="C679" s="91"/>
      <c r="D679" s="91"/>
      <c r="E679" s="91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</row>
    <row r="680" ht="15.75" customHeight="1">
      <c r="A680" s="93"/>
      <c r="B680" s="91"/>
      <c r="C680" s="91"/>
      <c r="D680" s="91"/>
      <c r="E680" s="91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</row>
    <row r="681" ht="15.75" customHeight="1">
      <c r="A681" s="93"/>
      <c r="B681" s="91"/>
      <c r="C681" s="91"/>
      <c r="D681" s="91"/>
      <c r="E681" s="91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</row>
    <row r="682" ht="15.75" customHeight="1">
      <c r="A682" s="93"/>
      <c r="B682" s="91"/>
      <c r="C682" s="91"/>
      <c r="D682" s="91"/>
      <c r="E682" s="91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</row>
    <row r="683" ht="15.75" customHeight="1">
      <c r="A683" s="93"/>
      <c r="B683" s="91"/>
      <c r="C683" s="91"/>
      <c r="D683" s="91"/>
      <c r="E683" s="91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</row>
    <row r="684" ht="15.75" customHeight="1">
      <c r="A684" s="93"/>
      <c r="B684" s="91"/>
      <c r="C684" s="91"/>
      <c r="D684" s="91"/>
      <c r="E684" s="91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</row>
    <row r="685" ht="15.75" customHeight="1">
      <c r="A685" s="93"/>
      <c r="B685" s="91"/>
      <c r="C685" s="91"/>
      <c r="D685" s="91"/>
      <c r="E685" s="91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</row>
    <row r="686" ht="15.75" customHeight="1">
      <c r="A686" s="93"/>
      <c r="B686" s="91"/>
      <c r="C686" s="91"/>
      <c r="D686" s="91"/>
      <c r="E686" s="91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</row>
    <row r="687" ht="15.75" customHeight="1">
      <c r="A687" s="93"/>
      <c r="B687" s="91"/>
      <c r="C687" s="91"/>
      <c r="D687" s="91"/>
      <c r="E687" s="91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</row>
    <row r="688" ht="15.75" customHeight="1">
      <c r="A688" s="93"/>
      <c r="B688" s="91"/>
      <c r="C688" s="91"/>
      <c r="D688" s="91"/>
      <c r="E688" s="91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</row>
    <row r="689" ht="15.75" customHeight="1">
      <c r="A689" s="93"/>
      <c r="B689" s="91"/>
      <c r="C689" s="91"/>
      <c r="D689" s="91"/>
      <c r="E689" s="91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</row>
    <row r="690" ht="15.75" customHeight="1">
      <c r="A690" s="93"/>
      <c r="B690" s="91"/>
      <c r="C690" s="91"/>
      <c r="D690" s="91"/>
      <c r="E690" s="91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</row>
    <row r="691" ht="15.75" customHeight="1">
      <c r="A691" s="93"/>
      <c r="B691" s="91"/>
      <c r="C691" s="91"/>
      <c r="D691" s="91"/>
      <c r="E691" s="91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</row>
    <row r="692" ht="15.75" customHeight="1">
      <c r="A692" s="93"/>
      <c r="B692" s="91"/>
      <c r="C692" s="91"/>
      <c r="D692" s="91"/>
      <c r="E692" s="91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</row>
    <row r="693" ht="15.75" customHeight="1">
      <c r="A693" s="93"/>
      <c r="B693" s="91"/>
      <c r="C693" s="91"/>
      <c r="D693" s="91"/>
      <c r="E693" s="91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</row>
    <row r="694" ht="15.75" customHeight="1">
      <c r="A694" s="93"/>
      <c r="B694" s="91"/>
      <c r="C694" s="91"/>
      <c r="D694" s="91"/>
      <c r="E694" s="91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</row>
    <row r="695" ht="15.75" customHeight="1">
      <c r="A695" s="93"/>
      <c r="B695" s="91"/>
      <c r="C695" s="91"/>
      <c r="D695" s="91"/>
      <c r="E695" s="91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</row>
    <row r="696" ht="15.75" customHeight="1">
      <c r="A696" s="93"/>
      <c r="B696" s="91"/>
      <c r="C696" s="91"/>
      <c r="D696" s="91"/>
      <c r="E696" s="91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</row>
    <row r="697" ht="15.75" customHeight="1">
      <c r="A697" s="93"/>
      <c r="B697" s="91"/>
      <c r="C697" s="91"/>
      <c r="D697" s="91"/>
      <c r="E697" s="91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</row>
    <row r="698" ht="15.75" customHeight="1">
      <c r="A698" s="93"/>
      <c r="B698" s="91"/>
      <c r="C698" s="91"/>
      <c r="D698" s="91"/>
      <c r="E698" s="91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</row>
    <row r="699" ht="15.75" customHeight="1">
      <c r="A699" s="93"/>
      <c r="B699" s="91"/>
      <c r="C699" s="91"/>
      <c r="D699" s="91"/>
      <c r="E699" s="91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</row>
    <row r="700" ht="15.75" customHeight="1">
      <c r="A700" s="93"/>
      <c r="B700" s="91"/>
      <c r="C700" s="91"/>
      <c r="D700" s="91"/>
      <c r="E700" s="91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</row>
    <row r="701" ht="15.75" customHeight="1">
      <c r="A701" s="93"/>
      <c r="B701" s="91"/>
      <c r="C701" s="91"/>
      <c r="D701" s="91"/>
      <c r="E701" s="91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</row>
    <row r="702" ht="15.75" customHeight="1">
      <c r="A702" s="93"/>
      <c r="B702" s="91"/>
      <c r="C702" s="91"/>
      <c r="D702" s="91"/>
      <c r="E702" s="91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</row>
    <row r="703" ht="15.75" customHeight="1">
      <c r="A703" s="93"/>
      <c r="B703" s="91"/>
      <c r="C703" s="91"/>
      <c r="D703" s="91"/>
      <c r="E703" s="91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</row>
    <row r="704" ht="15.75" customHeight="1">
      <c r="A704" s="93"/>
      <c r="B704" s="91"/>
      <c r="C704" s="91"/>
      <c r="D704" s="91"/>
      <c r="E704" s="91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</row>
    <row r="705" ht="15.75" customHeight="1">
      <c r="A705" s="93"/>
      <c r="B705" s="91"/>
      <c r="C705" s="91"/>
      <c r="D705" s="91"/>
      <c r="E705" s="91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</row>
    <row r="706" ht="15.75" customHeight="1">
      <c r="A706" s="93"/>
      <c r="B706" s="91"/>
      <c r="C706" s="91"/>
      <c r="D706" s="91"/>
      <c r="E706" s="91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</row>
    <row r="707" ht="15.75" customHeight="1">
      <c r="A707" s="93"/>
      <c r="B707" s="91"/>
      <c r="C707" s="91"/>
      <c r="D707" s="91"/>
      <c r="E707" s="91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</row>
    <row r="708" ht="15.75" customHeight="1">
      <c r="A708" s="93"/>
      <c r="B708" s="91"/>
      <c r="C708" s="91"/>
      <c r="D708" s="91"/>
      <c r="E708" s="91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</row>
    <row r="709" ht="15.75" customHeight="1">
      <c r="A709" s="93"/>
      <c r="B709" s="91"/>
      <c r="C709" s="91"/>
      <c r="D709" s="91"/>
      <c r="E709" s="91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</row>
    <row r="710" ht="15.75" customHeight="1">
      <c r="A710" s="93"/>
      <c r="B710" s="91"/>
      <c r="C710" s="91"/>
      <c r="D710" s="91"/>
      <c r="E710" s="91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</row>
    <row r="711" ht="15.75" customHeight="1">
      <c r="A711" s="93"/>
      <c r="B711" s="91"/>
      <c r="C711" s="91"/>
      <c r="D711" s="91"/>
      <c r="E711" s="91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</row>
    <row r="712" ht="15.75" customHeight="1">
      <c r="A712" s="93"/>
      <c r="B712" s="91"/>
      <c r="C712" s="91"/>
      <c r="D712" s="91"/>
      <c r="E712" s="91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</row>
    <row r="713" ht="15.75" customHeight="1">
      <c r="A713" s="93"/>
      <c r="B713" s="91"/>
      <c r="C713" s="91"/>
      <c r="D713" s="91"/>
      <c r="E713" s="91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</row>
    <row r="714" ht="15.75" customHeight="1">
      <c r="A714" s="93"/>
      <c r="B714" s="91"/>
      <c r="C714" s="91"/>
      <c r="D714" s="91"/>
      <c r="E714" s="91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</row>
    <row r="715" ht="15.75" customHeight="1">
      <c r="A715" s="93"/>
      <c r="B715" s="91"/>
      <c r="C715" s="91"/>
      <c r="D715" s="91"/>
      <c r="E715" s="91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</row>
    <row r="716" ht="15.75" customHeight="1">
      <c r="A716" s="93"/>
      <c r="B716" s="91"/>
      <c r="C716" s="91"/>
      <c r="D716" s="91"/>
      <c r="E716" s="91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</row>
    <row r="717" ht="15.75" customHeight="1">
      <c r="A717" s="93"/>
      <c r="B717" s="91"/>
      <c r="C717" s="91"/>
      <c r="D717" s="91"/>
      <c r="E717" s="91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</row>
    <row r="718" ht="15.75" customHeight="1">
      <c r="A718" s="93"/>
      <c r="B718" s="91"/>
      <c r="C718" s="91"/>
      <c r="D718" s="91"/>
      <c r="E718" s="91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</row>
    <row r="719" ht="15.75" customHeight="1">
      <c r="A719" s="93"/>
      <c r="B719" s="91"/>
      <c r="C719" s="91"/>
      <c r="D719" s="91"/>
      <c r="E719" s="91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</row>
    <row r="720" ht="15.75" customHeight="1">
      <c r="A720" s="93"/>
      <c r="B720" s="91"/>
      <c r="C720" s="91"/>
      <c r="D720" s="91"/>
      <c r="E720" s="91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</row>
    <row r="721" ht="15.75" customHeight="1">
      <c r="A721" s="93"/>
      <c r="B721" s="91"/>
      <c r="C721" s="91"/>
      <c r="D721" s="91"/>
      <c r="E721" s="91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</row>
    <row r="722" ht="15.75" customHeight="1">
      <c r="A722" s="93"/>
      <c r="B722" s="91"/>
      <c r="C722" s="91"/>
      <c r="D722" s="91"/>
      <c r="E722" s="91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</row>
    <row r="723" ht="15.75" customHeight="1">
      <c r="A723" s="93"/>
      <c r="B723" s="91"/>
      <c r="C723" s="91"/>
      <c r="D723" s="91"/>
      <c r="E723" s="91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</row>
    <row r="724" ht="15.75" customHeight="1">
      <c r="A724" s="93"/>
      <c r="B724" s="91"/>
      <c r="C724" s="91"/>
      <c r="D724" s="91"/>
      <c r="E724" s="91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</row>
    <row r="725" ht="15.75" customHeight="1">
      <c r="A725" s="93"/>
      <c r="B725" s="91"/>
      <c r="C725" s="91"/>
      <c r="D725" s="91"/>
      <c r="E725" s="91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</row>
    <row r="726" ht="15.75" customHeight="1">
      <c r="A726" s="93"/>
      <c r="B726" s="91"/>
      <c r="C726" s="91"/>
      <c r="D726" s="91"/>
      <c r="E726" s="91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</row>
    <row r="727" ht="15.75" customHeight="1">
      <c r="A727" s="93"/>
      <c r="B727" s="91"/>
      <c r="C727" s="91"/>
      <c r="D727" s="91"/>
      <c r="E727" s="91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</row>
    <row r="728" ht="15.75" customHeight="1">
      <c r="A728" s="93"/>
      <c r="B728" s="91"/>
      <c r="C728" s="91"/>
      <c r="D728" s="91"/>
      <c r="E728" s="91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</row>
    <row r="729" ht="15.75" customHeight="1">
      <c r="A729" s="93"/>
      <c r="B729" s="91"/>
      <c r="C729" s="91"/>
      <c r="D729" s="91"/>
      <c r="E729" s="91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</row>
    <row r="730" ht="15.75" customHeight="1">
      <c r="A730" s="93"/>
      <c r="B730" s="91"/>
      <c r="C730" s="91"/>
      <c r="D730" s="91"/>
      <c r="E730" s="91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</row>
    <row r="731" ht="15.75" customHeight="1">
      <c r="A731" s="93"/>
      <c r="B731" s="91"/>
      <c r="C731" s="91"/>
      <c r="D731" s="91"/>
      <c r="E731" s="91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</row>
    <row r="732" ht="15.75" customHeight="1">
      <c r="A732" s="93"/>
      <c r="B732" s="91"/>
      <c r="C732" s="91"/>
      <c r="D732" s="91"/>
      <c r="E732" s="91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</row>
    <row r="733" ht="15.75" customHeight="1">
      <c r="A733" s="93"/>
      <c r="B733" s="91"/>
      <c r="C733" s="91"/>
      <c r="D733" s="91"/>
      <c r="E733" s="91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</row>
    <row r="734" ht="15.75" customHeight="1">
      <c r="A734" s="93"/>
      <c r="B734" s="91"/>
      <c r="C734" s="91"/>
      <c r="D734" s="91"/>
      <c r="E734" s="91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</row>
    <row r="735" ht="15.75" customHeight="1">
      <c r="A735" s="93"/>
      <c r="B735" s="91"/>
      <c r="C735" s="91"/>
      <c r="D735" s="91"/>
      <c r="E735" s="91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</row>
    <row r="736" ht="15.75" customHeight="1">
      <c r="A736" s="93"/>
      <c r="B736" s="91"/>
      <c r="C736" s="91"/>
      <c r="D736" s="91"/>
      <c r="E736" s="91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</row>
    <row r="737" ht="15.75" customHeight="1">
      <c r="A737" s="93"/>
      <c r="B737" s="91"/>
      <c r="C737" s="91"/>
      <c r="D737" s="91"/>
      <c r="E737" s="91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</row>
    <row r="738" ht="15.75" customHeight="1">
      <c r="A738" s="93"/>
      <c r="B738" s="91"/>
      <c r="C738" s="91"/>
      <c r="D738" s="91"/>
      <c r="E738" s="91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</row>
    <row r="739" ht="15.75" customHeight="1">
      <c r="A739" s="93"/>
      <c r="B739" s="91"/>
      <c r="C739" s="91"/>
      <c r="D739" s="91"/>
      <c r="E739" s="91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</row>
    <row r="740" ht="15.75" customHeight="1">
      <c r="A740" s="93"/>
      <c r="B740" s="91"/>
      <c r="C740" s="91"/>
      <c r="D740" s="91"/>
      <c r="E740" s="91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</row>
    <row r="741" ht="15.75" customHeight="1">
      <c r="A741" s="93"/>
      <c r="B741" s="91"/>
      <c r="C741" s="91"/>
      <c r="D741" s="91"/>
      <c r="E741" s="91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</row>
    <row r="742" ht="15.75" customHeight="1">
      <c r="A742" s="93"/>
      <c r="B742" s="91"/>
      <c r="C742" s="91"/>
      <c r="D742" s="91"/>
      <c r="E742" s="91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</row>
    <row r="743" ht="15.75" customHeight="1">
      <c r="A743" s="93"/>
      <c r="B743" s="91"/>
      <c r="C743" s="91"/>
      <c r="D743" s="91"/>
      <c r="E743" s="91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</row>
    <row r="744" ht="15.75" customHeight="1">
      <c r="A744" s="93"/>
      <c r="B744" s="91"/>
      <c r="C744" s="91"/>
      <c r="D744" s="91"/>
      <c r="E744" s="91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</row>
    <row r="745" ht="15.75" customHeight="1">
      <c r="A745" s="93"/>
      <c r="B745" s="91"/>
      <c r="C745" s="91"/>
      <c r="D745" s="91"/>
      <c r="E745" s="91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</row>
    <row r="746" ht="15.75" customHeight="1">
      <c r="A746" s="93"/>
      <c r="B746" s="91"/>
      <c r="C746" s="91"/>
      <c r="D746" s="91"/>
      <c r="E746" s="91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</row>
    <row r="747" ht="15.75" customHeight="1">
      <c r="A747" s="93"/>
      <c r="B747" s="91"/>
      <c r="C747" s="91"/>
      <c r="D747" s="91"/>
      <c r="E747" s="91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</row>
    <row r="748" ht="15.75" customHeight="1">
      <c r="A748" s="93"/>
      <c r="B748" s="91"/>
      <c r="C748" s="91"/>
      <c r="D748" s="91"/>
      <c r="E748" s="91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</row>
    <row r="749" ht="15.75" customHeight="1">
      <c r="A749" s="93"/>
      <c r="B749" s="91"/>
      <c r="C749" s="91"/>
      <c r="D749" s="91"/>
      <c r="E749" s="91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</row>
    <row r="750" ht="15.75" customHeight="1">
      <c r="A750" s="93"/>
      <c r="B750" s="91"/>
      <c r="C750" s="91"/>
      <c r="D750" s="91"/>
      <c r="E750" s="91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</row>
    <row r="751" ht="15.75" customHeight="1">
      <c r="A751" s="93"/>
      <c r="B751" s="91"/>
      <c r="C751" s="91"/>
      <c r="D751" s="91"/>
      <c r="E751" s="91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</row>
    <row r="752" ht="15.75" customHeight="1">
      <c r="A752" s="93"/>
      <c r="B752" s="91"/>
      <c r="C752" s="91"/>
      <c r="D752" s="91"/>
      <c r="E752" s="91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</row>
    <row r="753" ht="15.75" customHeight="1">
      <c r="A753" s="93"/>
      <c r="B753" s="91"/>
      <c r="C753" s="91"/>
      <c r="D753" s="91"/>
      <c r="E753" s="91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</row>
    <row r="754" ht="15.75" customHeight="1">
      <c r="A754" s="93"/>
      <c r="B754" s="91"/>
      <c r="C754" s="91"/>
      <c r="D754" s="91"/>
      <c r="E754" s="91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</row>
    <row r="755" ht="15.75" customHeight="1">
      <c r="A755" s="93"/>
      <c r="B755" s="91"/>
      <c r="C755" s="91"/>
      <c r="D755" s="91"/>
      <c r="E755" s="91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</row>
    <row r="756" ht="15.75" customHeight="1">
      <c r="A756" s="93"/>
      <c r="B756" s="91"/>
      <c r="C756" s="91"/>
      <c r="D756" s="91"/>
      <c r="E756" s="91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</row>
    <row r="757" ht="15.75" customHeight="1">
      <c r="A757" s="93"/>
      <c r="B757" s="91"/>
      <c r="C757" s="91"/>
      <c r="D757" s="91"/>
      <c r="E757" s="91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</row>
    <row r="758" ht="15.75" customHeight="1">
      <c r="A758" s="93"/>
      <c r="B758" s="91"/>
      <c r="C758" s="91"/>
      <c r="D758" s="91"/>
      <c r="E758" s="91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</row>
    <row r="759" ht="15.75" customHeight="1">
      <c r="A759" s="93"/>
      <c r="B759" s="91"/>
      <c r="C759" s="91"/>
      <c r="D759" s="91"/>
      <c r="E759" s="91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</row>
    <row r="760" ht="15.75" customHeight="1">
      <c r="A760" s="93"/>
      <c r="B760" s="91"/>
      <c r="C760" s="91"/>
      <c r="D760" s="91"/>
      <c r="E760" s="91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</row>
    <row r="761" ht="15.75" customHeight="1">
      <c r="A761" s="93"/>
      <c r="B761" s="91"/>
      <c r="C761" s="91"/>
      <c r="D761" s="91"/>
      <c r="E761" s="91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</row>
    <row r="762" ht="15.75" customHeight="1">
      <c r="A762" s="93"/>
      <c r="B762" s="91"/>
      <c r="C762" s="91"/>
      <c r="D762" s="91"/>
      <c r="E762" s="91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</row>
    <row r="763" ht="15.75" customHeight="1">
      <c r="A763" s="93"/>
      <c r="B763" s="91"/>
      <c r="C763" s="91"/>
      <c r="D763" s="91"/>
      <c r="E763" s="91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</row>
    <row r="764" ht="15.75" customHeight="1">
      <c r="A764" s="93"/>
      <c r="B764" s="91"/>
      <c r="C764" s="91"/>
      <c r="D764" s="91"/>
      <c r="E764" s="91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</row>
    <row r="765" ht="15.75" customHeight="1">
      <c r="A765" s="93"/>
      <c r="B765" s="91"/>
      <c r="C765" s="91"/>
      <c r="D765" s="91"/>
      <c r="E765" s="91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</row>
    <row r="766" ht="15.75" customHeight="1">
      <c r="A766" s="93"/>
      <c r="B766" s="91"/>
      <c r="C766" s="91"/>
      <c r="D766" s="91"/>
      <c r="E766" s="91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</row>
    <row r="767" ht="15.75" customHeight="1">
      <c r="A767" s="93"/>
      <c r="B767" s="91"/>
      <c r="C767" s="91"/>
      <c r="D767" s="91"/>
      <c r="E767" s="91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</row>
    <row r="768" ht="15.75" customHeight="1">
      <c r="A768" s="93"/>
      <c r="B768" s="91"/>
      <c r="C768" s="91"/>
      <c r="D768" s="91"/>
      <c r="E768" s="91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</row>
    <row r="769" ht="15.75" customHeight="1">
      <c r="A769" s="93"/>
      <c r="B769" s="91"/>
      <c r="C769" s="91"/>
      <c r="D769" s="91"/>
      <c r="E769" s="91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</row>
    <row r="770" ht="15.75" customHeight="1">
      <c r="A770" s="93"/>
      <c r="B770" s="91"/>
      <c r="C770" s="91"/>
      <c r="D770" s="91"/>
      <c r="E770" s="91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</row>
    <row r="771" ht="15.75" customHeight="1">
      <c r="A771" s="93"/>
      <c r="B771" s="91"/>
      <c r="C771" s="91"/>
      <c r="D771" s="91"/>
      <c r="E771" s="91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</row>
    <row r="772" ht="15.75" customHeight="1">
      <c r="A772" s="93"/>
      <c r="B772" s="91"/>
      <c r="C772" s="91"/>
      <c r="D772" s="91"/>
      <c r="E772" s="91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</row>
    <row r="773" ht="15.75" customHeight="1">
      <c r="A773" s="93"/>
      <c r="B773" s="91"/>
      <c r="C773" s="91"/>
      <c r="D773" s="91"/>
      <c r="E773" s="91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</row>
    <row r="774" ht="15.75" customHeight="1">
      <c r="A774" s="93"/>
      <c r="B774" s="91"/>
      <c r="C774" s="91"/>
      <c r="D774" s="91"/>
      <c r="E774" s="91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</row>
    <row r="775" ht="15.75" customHeight="1">
      <c r="A775" s="93"/>
      <c r="B775" s="91"/>
      <c r="C775" s="91"/>
      <c r="D775" s="91"/>
      <c r="E775" s="91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</row>
    <row r="776" ht="15.75" customHeight="1">
      <c r="A776" s="93"/>
      <c r="B776" s="91"/>
      <c r="C776" s="91"/>
      <c r="D776" s="91"/>
      <c r="E776" s="91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</row>
    <row r="777" ht="15.75" customHeight="1">
      <c r="A777" s="93"/>
      <c r="B777" s="91"/>
      <c r="C777" s="91"/>
      <c r="D777" s="91"/>
      <c r="E777" s="91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</row>
    <row r="778" ht="15.75" customHeight="1">
      <c r="A778" s="93"/>
      <c r="B778" s="91"/>
      <c r="C778" s="91"/>
      <c r="D778" s="91"/>
      <c r="E778" s="91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</row>
    <row r="779" ht="15.75" customHeight="1">
      <c r="A779" s="93"/>
      <c r="B779" s="91"/>
      <c r="C779" s="91"/>
      <c r="D779" s="91"/>
      <c r="E779" s="91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</row>
    <row r="780" ht="15.75" customHeight="1">
      <c r="A780" s="93"/>
      <c r="B780" s="91"/>
      <c r="C780" s="91"/>
      <c r="D780" s="91"/>
      <c r="E780" s="91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</row>
    <row r="781" ht="15.75" customHeight="1">
      <c r="A781" s="93"/>
      <c r="B781" s="91"/>
      <c r="C781" s="91"/>
      <c r="D781" s="91"/>
      <c r="E781" s="91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</row>
    <row r="782" ht="15.75" customHeight="1">
      <c r="A782" s="93"/>
      <c r="B782" s="91"/>
      <c r="C782" s="91"/>
      <c r="D782" s="91"/>
      <c r="E782" s="91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</row>
    <row r="783" ht="15.75" customHeight="1">
      <c r="A783" s="93"/>
      <c r="B783" s="91"/>
      <c r="C783" s="91"/>
      <c r="D783" s="91"/>
      <c r="E783" s="91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</row>
    <row r="784" ht="15.75" customHeight="1">
      <c r="A784" s="93"/>
      <c r="B784" s="91"/>
      <c r="C784" s="91"/>
      <c r="D784" s="91"/>
      <c r="E784" s="91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</row>
    <row r="785" ht="15.75" customHeight="1">
      <c r="A785" s="93"/>
      <c r="B785" s="91"/>
      <c r="C785" s="91"/>
      <c r="D785" s="91"/>
      <c r="E785" s="91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</row>
    <row r="786" ht="15.75" customHeight="1">
      <c r="A786" s="93"/>
      <c r="B786" s="91"/>
      <c r="C786" s="91"/>
      <c r="D786" s="91"/>
      <c r="E786" s="91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</row>
    <row r="787" ht="15.75" customHeight="1">
      <c r="A787" s="93"/>
      <c r="B787" s="91"/>
      <c r="C787" s="91"/>
      <c r="D787" s="91"/>
      <c r="E787" s="91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</row>
    <row r="788" ht="15.75" customHeight="1">
      <c r="A788" s="93"/>
      <c r="B788" s="91"/>
      <c r="C788" s="91"/>
      <c r="D788" s="91"/>
      <c r="E788" s="91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</row>
    <row r="789" ht="15.75" customHeight="1">
      <c r="A789" s="93"/>
      <c r="B789" s="91"/>
      <c r="C789" s="91"/>
      <c r="D789" s="91"/>
      <c r="E789" s="91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</row>
    <row r="790" ht="15.75" customHeight="1">
      <c r="A790" s="93"/>
      <c r="B790" s="91"/>
      <c r="C790" s="91"/>
      <c r="D790" s="91"/>
      <c r="E790" s="91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</row>
    <row r="791" ht="15.75" customHeight="1">
      <c r="A791" s="93"/>
      <c r="B791" s="91"/>
      <c r="C791" s="91"/>
      <c r="D791" s="91"/>
      <c r="E791" s="91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</row>
    <row r="792" ht="15.75" customHeight="1">
      <c r="A792" s="93"/>
      <c r="B792" s="91"/>
      <c r="C792" s="91"/>
      <c r="D792" s="91"/>
      <c r="E792" s="91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</row>
    <row r="793" ht="15.75" customHeight="1">
      <c r="A793" s="93"/>
      <c r="B793" s="91"/>
      <c r="C793" s="91"/>
      <c r="D793" s="91"/>
      <c r="E793" s="91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</row>
    <row r="794" ht="15.75" customHeight="1">
      <c r="A794" s="93"/>
      <c r="B794" s="91"/>
      <c r="C794" s="91"/>
      <c r="D794" s="91"/>
      <c r="E794" s="91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</row>
    <row r="795" ht="15.75" customHeight="1">
      <c r="A795" s="93"/>
      <c r="B795" s="91"/>
      <c r="C795" s="91"/>
      <c r="D795" s="91"/>
      <c r="E795" s="91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</row>
    <row r="796" ht="15.75" customHeight="1">
      <c r="A796" s="93"/>
      <c r="B796" s="91"/>
      <c r="C796" s="91"/>
      <c r="D796" s="91"/>
      <c r="E796" s="91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</row>
    <row r="797" ht="15.75" customHeight="1">
      <c r="A797" s="93"/>
      <c r="B797" s="91"/>
      <c r="C797" s="91"/>
      <c r="D797" s="91"/>
      <c r="E797" s="91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</row>
    <row r="798" ht="15.75" customHeight="1">
      <c r="A798" s="93"/>
      <c r="B798" s="91"/>
      <c r="C798" s="91"/>
      <c r="D798" s="91"/>
      <c r="E798" s="91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</row>
    <row r="799" ht="15.75" customHeight="1">
      <c r="A799" s="93"/>
      <c r="B799" s="91"/>
      <c r="C799" s="91"/>
      <c r="D799" s="91"/>
      <c r="E799" s="91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</row>
    <row r="800" ht="15.75" customHeight="1">
      <c r="A800" s="93"/>
      <c r="B800" s="91"/>
      <c r="C800" s="91"/>
      <c r="D800" s="91"/>
      <c r="E800" s="91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</row>
    <row r="801" ht="15.75" customHeight="1">
      <c r="A801" s="93"/>
      <c r="B801" s="91"/>
      <c r="C801" s="91"/>
      <c r="D801" s="91"/>
      <c r="E801" s="91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</row>
    <row r="802" ht="15.75" customHeight="1">
      <c r="A802" s="93"/>
      <c r="B802" s="91"/>
      <c r="C802" s="91"/>
      <c r="D802" s="91"/>
      <c r="E802" s="91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</row>
    <row r="803" ht="15.75" customHeight="1">
      <c r="A803" s="93"/>
      <c r="B803" s="91"/>
      <c r="C803" s="91"/>
      <c r="D803" s="91"/>
      <c r="E803" s="91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</row>
    <row r="804" ht="15.75" customHeight="1">
      <c r="A804" s="93"/>
      <c r="B804" s="91"/>
      <c r="C804" s="91"/>
      <c r="D804" s="91"/>
      <c r="E804" s="91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</row>
    <row r="805" ht="15.75" customHeight="1">
      <c r="A805" s="93"/>
      <c r="B805" s="91"/>
      <c r="C805" s="91"/>
      <c r="D805" s="91"/>
      <c r="E805" s="91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</row>
    <row r="806" ht="15.75" customHeight="1">
      <c r="A806" s="93"/>
      <c r="B806" s="91"/>
      <c r="C806" s="91"/>
      <c r="D806" s="91"/>
      <c r="E806" s="91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</row>
    <row r="807" ht="15.75" customHeight="1">
      <c r="A807" s="93"/>
      <c r="B807" s="91"/>
      <c r="C807" s="91"/>
      <c r="D807" s="91"/>
      <c r="E807" s="91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</row>
    <row r="808" ht="15.75" customHeight="1">
      <c r="A808" s="93"/>
      <c r="B808" s="91"/>
      <c r="C808" s="91"/>
      <c r="D808" s="91"/>
      <c r="E808" s="91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</row>
    <row r="809" ht="15.75" customHeight="1">
      <c r="A809" s="93"/>
      <c r="B809" s="91"/>
      <c r="C809" s="91"/>
      <c r="D809" s="91"/>
      <c r="E809" s="91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</row>
    <row r="810" ht="15.75" customHeight="1">
      <c r="A810" s="93"/>
      <c r="B810" s="91"/>
      <c r="C810" s="91"/>
      <c r="D810" s="91"/>
      <c r="E810" s="91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</row>
    <row r="811" ht="15.75" customHeight="1">
      <c r="A811" s="93"/>
      <c r="B811" s="91"/>
      <c r="C811" s="91"/>
      <c r="D811" s="91"/>
      <c r="E811" s="91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</row>
    <row r="812" ht="15.75" customHeight="1">
      <c r="A812" s="93"/>
      <c r="B812" s="91"/>
      <c r="C812" s="91"/>
      <c r="D812" s="91"/>
      <c r="E812" s="91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</row>
    <row r="813" ht="15.75" customHeight="1">
      <c r="A813" s="93"/>
      <c r="B813" s="91"/>
      <c r="C813" s="91"/>
      <c r="D813" s="91"/>
      <c r="E813" s="91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</row>
    <row r="814" ht="15.75" customHeight="1">
      <c r="A814" s="93"/>
      <c r="B814" s="91"/>
      <c r="C814" s="91"/>
      <c r="D814" s="91"/>
      <c r="E814" s="91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</row>
    <row r="815" ht="15.75" customHeight="1">
      <c r="A815" s="93"/>
      <c r="B815" s="91"/>
      <c r="C815" s="91"/>
      <c r="D815" s="91"/>
      <c r="E815" s="91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</row>
    <row r="816" ht="15.75" customHeight="1">
      <c r="A816" s="93"/>
      <c r="B816" s="91"/>
      <c r="C816" s="91"/>
      <c r="D816" s="91"/>
      <c r="E816" s="91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</row>
    <row r="817" ht="15.75" customHeight="1">
      <c r="A817" s="93"/>
      <c r="B817" s="91"/>
      <c r="C817" s="91"/>
      <c r="D817" s="91"/>
      <c r="E817" s="91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</row>
    <row r="818" ht="15.75" customHeight="1">
      <c r="A818" s="93"/>
      <c r="B818" s="91"/>
      <c r="C818" s="91"/>
      <c r="D818" s="91"/>
      <c r="E818" s="91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</row>
    <row r="819" ht="15.75" customHeight="1">
      <c r="A819" s="93"/>
      <c r="B819" s="91"/>
      <c r="C819" s="91"/>
      <c r="D819" s="91"/>
      <c r="E819" s="91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</row>
    <row r="820" ht="15.75" customHeight="1">
      <c r="A820" s="93"/>
      <c r="B820" s="91"/>
      <c r="C820" s="91"/>
      <c r="D820" s="91"/>
      <c r="E820" s="91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</row>
    <row r="821" ht="15.75" customHeight="1">
      <c r="A821" s="93"/>
      <c r="B821" s="91"/>
      <c r="C821" s="91"/>
      <c r="D821" s="91"/>
      <c r="E821" s="91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</row>
    <row r="822" ht="15.75" customHeight="1">
      <c r="A822" s="93"/>
      <c r="B822" s="91"/>
      <c r="C822" s="91"/>
      <c r="D822" s="91"/>
      <c r="E822" s="91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</row>
    <row r="823" ht="15.75" customHeight="1">
      <c r="A823" s="93"/>
      <c r="B823" s="91"/>
      <c r="C823" s="91"/>
      <c r="D823" s="91"/>
      <c r="E823" s="91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</row>
    <row r="824" ht="15.75" customHeight="1">
      <c r="A824" s="93"/>
      <c r="B824" s="91"/>
      <c r="C824" s="91"/>
      <c r="D824" s="91"/>
      <c r="E824" s="91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</row>
    <row r="825" ht="15.75" customHeight="1">
      <c r="A825" s="93"/>
      <c r="B825" s="91"/>
      <c r="C825" s="91"/>
      <c r="D825" s="91"/>
      <c r="E825" s="91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</row>
    <row r="826" ht="15.75" customHeight="1">
      <c r="A826" s="93"/>
      <c r="B826" s="91"/>
      <c r="C826" s="91"/>
      <c r="D826" s="91"/>
      <c r="E826" s="91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</row>
    <row r="827" ht="15.75" customHeight="1">
      <c r="A827" s="93"/>
      <c r="B827" s="91"/>
      <c r="C827" s="91"/>
      <c r="D827" s="91"/>
      <c r="E827" s="91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</row>
    <row r="828" ht="15.75" customHeight="1">
      <c r="A828" s="93"/>
      <c r="B828" s="91"/>
      <c r="C828" s="91"/>
      <c r="D828" s="91"/>
      <c r="E828" s="91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</row>
    <row r="829" ht="15.75" customHeight="1">
      <c r="A829" s="93"/>
      <c r="B829" s="91"/>
      <c r="C829" s="91"/>
      <c r="D829" s="91"/>
      <c r="E829" s="91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</row>
    <row r="830" ht="15.75" customHeight="1">
      <c r="A830" s="93"/>
      <c r="B830" s="91"/>
      <c r="C830" s="91"/>
      <c r="D830" s="91"/>
      <c r="E830" s="91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</row>
    <row r="831" ht="15.75" customHeight="1">
      <c r="A831" s="93"/>
      <c r="B831" s="91"/>
      <c r="C831" s="91"/>
      <c r="D831" s="91"/>
      <c r="E831" s="91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</row>
    <row r="832" ht="15.75" customHeight="1">
      <c r="A832" s="93"/>
      <c r="B832" s="91"/>
      <c r="C832" s="91"/>
      <c r="D832" s="91"/>
      <c r="E832" s="91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</row>
    <row r="833" ht="15.75" customHeight="1">
      <c r="A833" s="93"/>
      <c r="B833" s="91"/>
      <c r="C833" s="91"/>
      <c r="D833" s="91"/>
      <c r="E833" s="91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</row>
    <row r="834" ht="15.75" customHeight="1">
      <c r="A834" s="93"/>
      <c r="B834" s="91"/>
      <c r="C834" s="91"/>
      <c r="D834" s="91"/>
      <c r="E834" s="91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</row>
    <row r="835" ht="15.75" customHeight="1">
      <c r="A835" s="93"/>
      <c r="B835" s="91"/>
      <c r="C835" s="91"/>
      <c r="D835" s="91"/>
      <c r="E835" s="91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</row>
    <row r="836" ht="15.75" customHeight="1">
      <c r="A836" s="93"/>
      <c r="B836" s="91"/>
      <c r="C836" s="91"/>
      <c r="D836" s="91"/>
      <c r="E836" s="91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</row>
    <row r="837" ht="15.75" customHeight="1">
      <c r="A837" s="93"/>
      <c r="B837" s="91"/>
      <c r="C837" s="91"/>
      <c r="D837" s="91"/>
      <c r="E837" s="91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</row>
    <row r="838" ht="15.75" customHeight="1">
      <c r="A838" s="93"/>
      <c r="B838" s="91"/>
      <c r="C838" s="91"/>
      <c r="D838" s="91"/>
      <c r="E838" s="91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</row>
    <row r="839" ht="15.75" customHeight="1">
      <c r="A839" s="93"/>
      <c r="B839" s="91"/>
      <c r="C839" s="91"/>
      <c r="D839" s="91"/>
      <c r="E839" s="91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</row>
    <row r="840" ht="15.75" customHeight="1">
      <c r="A840" s="93"/>
      <c r="B840" s="91"/>
      <c r="C840" s="91"/>
      <c r="D840" s="91"/>
      <c r="E840" s="91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</row>
    <row r="841" ht="15.75" customHeight="1">
      <c r="A841" s="93"/>
      <c r="B841" s="91"/>
      <c r="C841" s="91"/>
      <c r="D841" s="91"/>
      <c r="E841" s="91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</row>
    <row r="842" ht="15.75" customHeight="1">
      <c r="A842" s="93"/>
      <c r="B842" s="91"/>
      <c r="C842" s="91"/>
      <c r="D842" s="91"/>
      <c r="E842" s="91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</row>
    <row r="843" ht="15.75" customHeight="1">
      <c r="A843" s="93"/>
      <c r="B843" s="91"/>
      <c r="C843" s="91"/>
      <c r="D843" s="91"/>
      <c r="E843" s="91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</row>
    <row r="844" ht="15.75" customHeight="1">
      <c r="A844" s="93"/>
      <c r="B844" s="91"/>
      <c r="C844" s="91"/>
      <c r="D844" s="91"/>
      <c r="E844" s="91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</row>
    <row r="845" ht="15.75" customHeight="1">
      <c r="A845" s="93"/>
      <c r="B845" s="91"/>
      <c r="C845" s="91"/>
      <c r="D845" s="91"/>
      <c r="E845" s="91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</row>
    <row r="846" ht="15.75" customHeight="1">
      <c r="A846" s="93"/>
      <c r="B846" s="91"/>
      <c r="C846" s="91"/>
      <c r="D846" s="91"/>
      <c r="E846" s="91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</row>
    <row r="847" ht="15.75" customHeight="1">
      <c r="A847" s="93"/>
      <c r="B847" s="91"/>
      <c r="C847" s="91"/>
      <c r="D847" s="91"/>
      <c r="E847" s="91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</row>
    <row r="848" ht="15.75" customHeight="1">
      <c r="A848" s="93"/>
      <c r="B848" s="91"/>
      <c r="C848" s="91"/>
      <c r="D848" s="91"/>
      <c r="E848" s="91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</row>
    <row r="849" ht="15.75" customHeight="1">
      <c r="A849" s="93"/>
      <c r="B849" s="91"/>
      <c r="C849" s="91"/>
      <c r="D849" s="91"/>
      <c r="E849" s="91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</row>
    <row r="850" ht="15.75" customHeight="1">
      <c r="A850" s="93"/>
      <c r="B850" s="91"/>
      <c r="C850" s="91"/>
      <c r="D850" s="91"/>
      <c r="E850" s="91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</row>
    <row r="851" ht="15.75" customHeight="1">
      <c r="A851" s="93"/>
      <c r="B851" s="91"/>
      <c r="C851" s="91"/>
      <c r="D851" s="91"/>
      <c r="E851" s="91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</row>
    <row r="852" ht="15.75" customHeight="1">
      <c r="A852" s="93"/>
      <c r="B852" s="91"/>
      <c r="C852" s="91"/>
      <c r="D852" s="91"/>
      <c r="E852" s="91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</row>
    <row r="853" ht="15.75" customHeight="1">
      <c r="A853" s="93"/>
      <c r="B853" s="91"/>
      <c r="C853" s="91"/>
      <c r="D853" s="91"/>
      <c r="E853" s="91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</row>
    <row r="854" ht="15.75" customHeight="1">
      <c r="A854" s="93"/>
      <c r="B854" s="91"/>
      <c r="C854" s="91"/>
      <c r="D854" s="91"/>
      <c r="E854" s="91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</row>
    <row r="855" ht="15.75" customHeight="1">
      <c r="A855" s="93"/>
      <c r="B855" s="91"/>
      <c r="C855" s="91"/>
      <c r="D855" s="91"/>
      <c r="E855" s="91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</row>
    <row r="856" ht="15.75" customHeight="1">
      <c r="A856" s="93"/>
      <c r="B856" s="91"/>
      <c r="C856" s="91"/>
      <c r="D856" s="91"/>
      <c r="E856" s="91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</row>
    <row r="857" ht="15.75" customHeight="1">
      <c r="A857" s="93"/>
      <c r="B857" s="91"/>
      <c r="C857" s="91"/>
      <c r="D857" s="91"/>
      <c r="E857" s="91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</row>
    <row r="858" ht="15.75" customHeight="1">
      <c r="A858" s="93"/>
      <c r="B858" s="91"/>
      <c r="C858" s="91"/>
      <c r="D858" s="91"/>
      <c r="E858" s="91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</row>
    <row r="859" ht="15.75" customHeight="1">
      <c r="A859" s="93"/>
      <c r="B859" s="91"/>
      <c r="C859" s="91"/>
      <c r="D859" s="91"/>
      <c r="E859" s="91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</row>
    <row r="860" ht="15.75" customHeight="1">
      <c r="A860" s="93"/>
      <c r="B860" s="91"/>
      <c r="C860" s="91"/>
      <c r="D860" s="91"/>
      <c r="E860" s="91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</row>
    <row r="861" ht="15.75" customHeight="1">
      <c r="A861" s="93"/>
      <c r="B861" s="91"/>
      <c r="C861" s="91"/>
      <c r="D861" s="91"/>
      <c r="E861" s="91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</row>
    <row r="862" ht="15.75" customHeight="1">
      <c r="A862" s="93"/>
      <c r="B862" s="91"/>
      <c r="C862" s="91"/>
      <c r="D862" s="91"/>
      <c r="E862" s="91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</row>
    <row r="863" ht="15.75" customHeight="1">
      <c r="A863" s="93"/>
      <c r="B863" s="91"/>
      <c r="C863" s="91"/>
      <c r="D863" s="91"/>
      <c r="E863" s="91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</row>
    <row r="864" ht="15.75" customHeight="1">
      <c r="A864" s="93"/>
      <c r="B864" s="91"/>
      <c r="C864" s="91"/>
      <c r="D864" s="91"/>
      <c r="E864" s="91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</row>
    <row r="865" ht="15.75" customHeight="1">
      <c r="A865" s="93"/>
      <c r="B865" s="91"/>
      <c r="C865" s="91"/>
      <c r="D865" s="91"/>
      <c r="E865" s="91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</row>
    <row r="866" ht="15.75" customHeight="1">
      <c r="A866" s="93"/>
      <c r="B866" s="91"/>
      <c r="C866" s="91"/>
      <c r="D866" s="91"/>
      <c r="E866" s="91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</row>
    <row r="867" ht="15.75" customHeight="1">
      <c r="A867" s="93"/>
      <c r="B867" s="91"/>
      <c r="C867" s="91"/>
      <c r="D867" s="91"/>
      <c r="E867" s="91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</row>
    <row r="868" ht="15.75" customHeight="1">
      <c r="A868" s="93"/>
      <c r="B868" s="91"/>
      <c r="C868" s="91"/>
      <c r="D868" s="91"/>
      <c r="E868" s="91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</row>
    <row r="869" ht="15.75" customHeight="1">
      <c r="A869" s="93"/>
      <c r="B869" s="91"/>
      <c r="C869" s="91"/>
      <c r="D869" s="91"/>
      <c r="E869" s="91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</row>
    <row r="870" ht="15.75" customHeight="1">
      <c r="A870" s="93"/>
      <c r="B870" s="91"/>
      <c r="C870" s="91"/>
      <c r="D870" s="91"/>
      <c r="E870" s="91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</row>
    <row r="871" ht="15.75" customHeight="1">
      <c r="A871" s="93"/>
      <c r="B871" s="91"/>
      <c r="C871" s="91"/>
      <c r="D871" s="91"/>
      <c r="E871" s="91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</row>
    <row r="872" ht="15.75" customHeight="1">
      <c r="A872" s="93"/>
      <c r="B872" s="91"/>
      <c r="C872" s="91"/>
      <c r="D872" s="91"/>
      <c r="E872" s="91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</row>
    <row r="873" ht="15.75" customHeight="1">
      <c r="A873" s="93"/>
      <c r="B873" s="91"/>
      <c r="C873" s="91"/>
      <c r="D873" s="91"/>
      <c r="E873" s="91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</row>
    <row r="874" ht="15.75" customHeight="1">
      <c r="A874" s="93"/>
      <c r="B874" s="91"/>
      <c r="C874" s="91"/>
      <c r="D874" s="91"/>
      <c r="E874" s="91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</row>
    <row r="875" ht="15.75" customHeight="1">
      <c r="A875" s="93"/>
      <c r="B875" s="91"/>
      <c r="C875" s="91"/>
      <c r="D875" s="91"/>
      <c r="E875" s="91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</row>
    <row r="876" ht="15.75" customHeight="1">
      <c r="A876" s="93"/>
      <c r="B876" s="91"/>
      <c r="C876" s="91"/>
      <c r="D876" s="91"/>
      <c r="E876" s="91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</row>
    <row r="877" ht="15.75" customHeight="1">
      <c r="A877" s="93"/>
      <c r="B877" s="91"/>
      <c r="C877" s="91"/>
      <c r="D877" s="91"/>
      <c r="E877" s="91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</row>
    <row r="878" ht="15.75" customHeight="1">
      <c r="A878" s="93"/>
      <c r="B878" s="91"/>
      <c r="C878" s="91"/>
      <c r="D878" s="91"/>
      <c r="E878" s="91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</row>
    <row r="879" ht="15.75" customHeight="1">
      <c r="A879" s="93"/>
      <c r="B879" s="91"/>
      <c r="C879" s="91"/>
      <c r="D879" s="91"/>
      <c r="E879" s="91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</row>
    <row r="880" ht="15.75" customHeight="1">
      <c r="A880" s="93"/>
      <c r="B880" s="91"/>
      <c r="C880" s="91"/>
      <c r="D880" s="91"/>
      <c r="E880" s="91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</row>
    <row r="881" ht="15.75" customHeight="1">
      <c r="A881" s="93"/>
      <c r="B881" s="91"/>
      <c r="C881" s="91"/>
      <c r="D881" s="91"/>
      <c r="E881" s="91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</row>
    <row r="882" ht="15.75" customHeight="1">
      <c r="A882" s="93"/>
      <c r="B882" s="91"/>
      <c r="C882" s="91"/>
      <c r="D882" s="91"/>
      <c r="E882" s="91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</row>
    <row r="883" ht="15.75" customHeight="1">
      <c r="A883" s="93"/>
      <c r="B883" s="91"/>
      <c r="C883" s="91"/>
      <c r="D883" s="91"/>
      <c r="E883" s="91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</row>
    <row r="884" ht="15.75" customHeight="1">
      <c r="A884" s="93"/>
      <c r="B884" s="91"/>
      <c r="C884" s="91"/>
      <c r="D884" s="91"/>
      <c r="E884" s="91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</row>
    <row r="885" ht="15.75" customHeight="1">
      <c r="A885" s="93"/>
      <c r="B885" s="91"/>
      <c r="C885" s="91"/>
      <c r="D885" s="91"/>
      <c r="E885" s="91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</row>
    <row r="886" ht="15.75" customHeight="1">
      <c r="A886" s="93"/>
      <c r="B886" s="91"/>
      <c r="C886" s="91"/>
      <c r="D886" s="91"/>
      <c r="E886" s="91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</row>
    <row r="887" ht="15.75" customHeight="1">
      <c r="A887" s="93"/>
      <c r="B887" s="91"/>
      <c r="C887" s="91"/>
      <c r="D887" s="91"/>
      <c r="E887" s="91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</row>
    <row r="888" ht="15.75" customHeight="1">
      <c r="A888" s="93"/>
      <c r="B888" s="91"/>
      <c r="C888" s="91"/>
      <c r="D888" s="91"/>
      <c r="E888" s="91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</row>
    <row r="889" ht="15.75" customHeight="1">
      <c r="A889" s="93"/>
      <c r="B889" s="91"/>
      <c r="C889" s="91"/>
      <c r="D889" s="91"/>
      <c r="E889" s="91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</row>
    <row r="890" ht="15.75" customHeight="1">
      <c r="A890" s="93"/>
      <c r="B890" s="91"/>
      <c r="C890" s="91"/>
      <c r="D890" s="91"/>
      <c r="E890" s="91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</row>
    <row r="891" ht="15.75" customHeight="1">
      <c r="A891" s="93"/>
      <c r="B891" s="91"/>
      <c r="C891" s="91"/>
      <c r="D891" s="91"/>
      <c r="E891" s="91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</row>
    <row r="892" ht="15.75" customHeight="1">
      <c r="A892" s="93"/>
      <c r="B892" s="91"/>
      <c r="C892" s="91"/>
      <c r="D892" s="91"/>
      <c r="E892" s="91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</row>
    <row r="893" ht="15.75" customHeight="1">
      <c r="A893" s="93"/>
      <c r="B893" s="91"/>
      <c r="C893" s="91"/>
      <c r="D893" s="91"/>
      <c r="E893" s="91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</row>
    <row r="894" ht="15.75" customHeight="1">
      <c r="A894" s="93"/>
      <c r="B894" s="91"/>
      <c r="C894" s="91"/>
      <c r="D894" s="91"/>
      <c r="E894" s="91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</row>
    <row r="895" ht="15.75" customHeight="1">
      <c r="A895" s="93"/>
      <c r="B895" s="91"/>
      <c r="C895" s="91"/>
      <c r="D895" s="91"/>
      <c r="E895" s="91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</row>
    <row r="896" ht="15.75" customHeight="1">
      <c r="A896" s="93"/>
      <c r="B896" s="91"/>
      <c r="C896" s="91"/>
      <c r="D896" s="91"/>
      <c r="E896" s="91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</row>
    <row r="897" ht="15.75" customHeight="1">
      <c r="A897" s="93"/>
      <c r="B897" s="91"/>
      <c r="C897" s="91"/>
      <c r="D897" s="91"/>
      <c r="E897" s="91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</row>
    <row r="898" ht="15.75" customHeight="1">
      <c r="A898" s="93"/>
      <c r="B898" s="91"/>
      <c r="C898" s="91"/>
      <c r="D898" s="91"/>
      <c r="E898" s="91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</row>
    <row r="899" ht="15.75" customHeight="1">
      <c r="A899" s="93"/>
      <c r="B899" s="91"/>
      <c r="C899" s="91"/>
      <c r="D899" s="91"/>
      <c r="E899" s="91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</row>
    <row r="900" ht="15.75" customHeight="1">
      <c r="A900" s="93"/>
      <c r="B900" s="91"/>
      <c r="C900" s="91"/>
      <c r="D900" s="91"/>
      <c r="E900" s="91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</row>
    <row r="901" ht="15.75" customHeight="1">
      <c r="A901" s="93"/>
      <c r="B901" s="91"/>
      <c r="C901" s="91"/>
      <c r="D901" s="91"/>
      <c r="E901" s="91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</row>
    <row r="902" ht="15.75" customHeight="1">
      <c r="A902" s="93"/>
      <c r="B902" s="91"/>
      <c r="C902" s="91"/>
      <c r="D902" s="91"/>
      <c r="E902" s="91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</row>
    <row r="903" ht="15.75" customHeight="1">
      <c r="A903" s="93"/>
      <c r="B903" s="91"/>
      <c r="C903" s="91"/>
      <c r="D903" s="91"/>
      <c r="E903" s="91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</row>
    <row r="904" ht="15.75" customHeight="1">
      <c r="A904" s="93"/>
      <c r="B904" s="91"/>
      <c r="C904" s="91"/>
      <c r="D904" s="91"/>
      <c r="E904" s="91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</row>
    <row r="905" ht="15.75" customHeight="1">
      <c r="A905" s="93"/>
      <c r="B905" s="91"/>
      <c r="C905" s="91"/>
      <c r="D905" s="91"/>
      <c r="E905" s="91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</row>
    <row r="906" ht="15.75" customHeight="1">
      <c r="A906" s="93"/>
      <c r="B906" s="91"/>
      <c r="C906" s="91"/>
      <c r="D906" s="91"/>
      <c r="E906" s="91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</row>
    <row r="907" ht="15.75" customHeight="1">
      <c r="A907" s="93"/>
      <c r="B907" s="91"/>
      <c r="C907" s="91"/>
      <c r="D907" s="91"/>
      <c r="E907" s="91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</row>
    <row r="908" ht="15.75" customHeight="1">
      <c r="A908" s="93"/>
      <c r="B908" s="91"/>
      <c r="C908" s="91"/>
      <c r="D908" s="91"/>
      <c r="E908" s="91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</row>
    <row r="909" ht="15.75" customHeight="1">
      <c r="A909" s="93"/>
      <c r="B909" s="91"/>
      <c r="C909" s="91"/>
      <c r="D909" s="91"/>
      <c r="E909" s="91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</row>
    <row r="910" ht="15.75" customHeight="1">
      <c r="A910" s="93"/>
      <c r="B910" s="91"/>
      <c r="C910" s="91"/>
      <c r="D910" s="91"/>
      <c r="E910" s="91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</row>
    <row r="911" ht="15.75" customHeight="1">
      <c r="A911" s="93"/>
      <c r="B911" s="91"/>
      <c r="C911" s="91"/>
      <c r="D911" s="91"/>
      <c r="E911" s="91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</row>
    <row r="912" ht="15.75" customHeight="1">
      <c r="A912" s="93"/>
      <c r="B912" s="91"/>
      <c r="C912" s="91"/>
      <c r="D912" s="91"/>
      <c r="E912" s="91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</row>
    <row r="913" ht="15.75" customHeight="1">
      <c r="A913" s="93"/>
      <c r="B913" s="91"/>
      <c r="C913" s="91"/>
      <c r="D913" s="91"/>
      <c r="E913" s="91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</row>
    <row r="914" ht="15.75" customHeight="1">
      <c r="A914" s="93"/>
      <c r="B914" s="91"/>
      <c r="C914" s="91"/>
      <c r="D914" s="91"/>
      <c r="E914" s="91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</row>
    <row r="915" ht="15.75" customHeight="1">
      <c r="A915" s="93"/>
      <c r="B915" s="91"/>
      <c r="C915" s="91"/>
      <c r="D915" s="91"/>
      <c r="E915" s="91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</row>
    <row r="916" ht="15.75" customHeight="1">
      <c r="A916" s="93"/>
      <c r="B916" s="91"/>
      <c r="C916" s="91"/>
      <c r="D916" s="91"/>
      <c r="E916" s="91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</row>
    <row r="917" ht="15.75" customHeight="1">
      <c r="A917" s="93"/>
      <c r="B917" s="91"/>
      <c r="C917" s="91"/>
      <c r="D917" s="91"/>
      <c r="E917" s="91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</row>
    <row r="918" ht="15.75" customHeight="1">
      <c r="A918" s="93"/>
      <c r="B918" s="91"/>
      <c r="C918" s="91"/>
      <c r="D918" s="91"/>
      <c r="E918" s="91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</row>
    <row r="919" ht="15.75" customHeight="1">
      <c r="A919" s="93"/>
      <c r="B919" s="91"/>
      <c r="C919" s="91"/>
      <c r="D919" s="91"/>
      <c r="E919" s="91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</row>
    <row r="920" ht="15.75" customHeight="1">
      <c r="A920" s="93"/>
      <c r="B920" s="91"/>
      <c r="C920" s="91"/>
      <c r="D920" s="91"/>
      <c r="E920" s="91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</row>
    <row r="921" ht="15.75" customHeight="1">
      <c r="A921" s="93"/>
      <c r="B921" s="91"/>
      <c r="C921" s="91"/>
      <c r="D921" s="91"/>
      <c r="E921" s="91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</row>
    <row r="922" ht="15.75" customHeight="1">
      <c r="A922" s="93"/>
      <c r="B922" s="91"/>
      <c r="C922" s="91"/>
      <c r="D922" s="91"/>
      <c r="E922" s="91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</row>
    <row r="923" ht="15.75" customHeight="1">
      <c r="A923" s="93"/>
      <c r="B923" s="91"/>
      <c r="C923" s="91"/>
      <c r="D923" s="91"/>
      <c r="E923" s="91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</row>
    <row r="924" ht="15.75" customHeight="1">
      <c r="A924" s="93"/>
      <c r="B924" s="91"/>
      <c r="C924" s="91"/>
      <c r="D924" s="91"/>
      <c r="E924" s="91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</row>
    <row r="925" ht="15.75" customHeight="1">
      <c r="A925" s="93"/>
      <c r="B925" s="91"/>
      <c r="C925" s="91"/>
      <c r="D925" s="91"/>
      <c r="E925" s="91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</row>
    <row r="926" ht="15.75" customHeight="1">
      <c r="A926" s="93"/>
      <c r="B926" s="91"/>
      <c r="C926" s="91"/>
      <c r="D926" s="91"/>
      <c r="E926" s="91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</row>
    <row r="927" ht="15.75" customHeight="1">
      <c r="A927" s="93"/>
      <c r="B927" s="91"/>
      <c r="C927" s="91"/>
      <c r="D927" s="91"/>
      <c r="E927" s="91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</row>
    <row r="928" ht="15.75" customHeight="1">
      <c r="A928" s="93"/>
      <c r="B928" s="91"/>
      <c r="C928" s="91"/>
      <c r="D928" s="91"/>
      <c r="E928" s="91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</row>
    <row r="929" ht="15.75" customHeight="1">
      <c r="A929" s="93"/>
      <c r="B929" s="91"/>
      <c r="C929" s="91"/>
      <c r="D929" s="91"/>
      <c r="E929" s="91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</row>
    <row r="930" ht="15.75" customHeight="1">
      <c r="A930" s="93"/>
      <c r="B930" s="91"/>
      <c r="C930" s="91"/>
      <c r="D930" s="91"/>
      <c r="E930" s="91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</row>
    <row r="931" ht="15.75" customHeight="1">
      <c r="A931" s="93"/>
      <c r="B931" s="91"/>
      <c r="C931" s="91"/>
      <c r="D931" s="91"/>
      <c r="E931" s="91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</row>
    <row r="932" ht="15.75" customHeight="1">
      <c r="A932" s="93"/>
      <c r="B932" s="91"/>
      <c r="C932" s="91"/>
      <c r="D932" s="91"/>
      <c r="E932" s="91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</row>
    <row r="933" ht="15.75" customHeight="1">
      <c r="A933" s="93"/>
      <c r="B933" s="91"/>
      <c r="C933" s="91"/>
      <c r="D933" s="91"/>
      <c r="E933" s="91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</row>
    <row r="934" ht="15.75" customHeight="1">
      <c r="A934" s="93"/>
      <c r="B934" s="91"/>
      <c r="C934" s="91"/>
      <c r="D934" s="91"/>
      <c r="E934" s="91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</row>
    <row r="935" ht="15.75" customHeight="1">
      <c r="A935" s="93"/>
      <c r="B935" s="91"/>
      <c r="C935" s="91"/>
      <c r="D935" s="91"/>
      <c r="E935" s="91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</row>
    <row r="936" ht="15.75" customHeight="1">
      <c r="A936" s="93"/>
      <c r="B936" s="91"/>
      <c r="C936" s="91"/>
      <c r="D936" s="91"/>
      <c r="E936" s="91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</row>
    <row r="937" ht="15.75" customHeight="1">
      <c r="A937" s="93"/>
      <c r="B937" s="91"/>
      <c r="C937" s="91"/>
      <c r="D937" s="91"/>
      <c r="E937" s="91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</row>
    <row r="938" ht="15.75" customHeight="1">
      <c r="A938" s="93"/>
      <c r="B938" s="91"/>
      <c r="C938" s="91"/>
      <c r="D938" s="91"/>
      <c r="E938" s="91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</row>
    <row r="939" ht="15.75" customHeight="1">
      <c r="A939" s="93"/>
      <c r="B939" s="91"/>
      <c r="C939" s="91"/>
      <c r="D939" s="91"/>
      <c r="E939" s="91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</row>
    <row r="940" ht="15.75" customHeight="1">
      <c r="A940" s="93"/>
      <c r="B940" s="91"/>
      <c r="C940" s="91"/>
      <c r="D940" s="91"/>
      <c r="E940" s="91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</row>
    <row r="941" ht="15.75" customHeight="1">
      <c r="A941" s="93"/>
      <c r="B941" s="91"/>
      <c r="C941" s="91"/>
      <c r="D941" s="91"/>
      <c r="E941" s="91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</row>
    <row r="942" ht="15.75" customHeight="1">
      <c r="A942" s="93"/>
      <c r="B942" s="91"/>
      <c r="C942" s="91"/>
      <c r="D942" s="91"/>
      <c r="E942" s="91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</row>
    <row r="943" ht="15.75" customHeight="1">
      <c r="A943" s="93"/>
      <c r="B943" s="91"/>
      <c r="C943" s="91"/>
      <c r="D943" s="91"/>
      <c r="E943" s="91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</row>
    <row r="944" ht="15.75" customHeight="1">
      <c r="A944" s="93"/>
      <c r="B944" s="91"/>
      <c r="C944" s="91"/>
      <c r="D944" s="91"/>
      <c r="E944" s="91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</row>
    <row r="945" ht="15.75" customHeight="1">
      <c r="A945" s="93"/>
      <c r="B945" s="91"/>
      <c r="C945" s="91"/>
      <c r="D945" s="91"/>
      <c r="E945" s="91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</row>
    <row r="946" ht="15.75" customHeight="1">
      <c r="A946" s="93"/>
      <c r="B946" s="91"/>
      <c r="C946" s="91"/>
      <c r="D946" s="91"/>
      <c r="E946" s="91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</row>
    <row r="947" ht="15.75" customHeight="1">
      <c r="A947" s="93"/>
      <c r="B947" s="91"/>
      <c r="C947" s="91"/>
      <c r="D947" s="91"/>
      <c r="E947" s="91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</row>
    <row r="948" ht="15.75" customHeight="1">
      <c r="A948" s="93"/>
      <c r="B948" s="91"/>
      <c r="C948" s="91"/>
      <c r="D948" s="91"/>
      <c r="E948" s="91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</row>
    <row r="949" ht="15.75" customHeight="1">
      <c r="A949" s="93"/>
      <c r="B949" s="91"/>
      <c r="C949" s="91"/>
      <c r="D949" s="91"/>
      <c r="E949" s="91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</row>
    <row r="950" ht="15.75" customHeight="1">
      <c r="A950" s="93"/>
      <c r="B950" s="91"/>
      <c r="C950" s="91"/>
      <c r="D950" s="91"/>
      <c r="E950" s="91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</row>
    <row r="951" ht="15.75" customHeight="1">
      <c r="A951" s="93"/>
      <c r="B951" s="91"/>
      <c r="C951" s="91"/>
      <c r="D951" s="91"/>
      <c r="E951" s="91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</row>
    <row r="952" ht="15.75" customHeight="1">
      <c r="A952" s="93"/>
      <c r="B952" s="91"/>
      <c r="C952" s="91"/>
      <c r="D952" s="91"/>
      <c r="E952" s="91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</row>
    <row r="953" ht="15.75" customHeight="1">
      <c r="A953" s="93"/>
      <c r="B953" s="91"/>
      <c r="C953" s="91"/>
      <c r="D953" s="91"/>
      <c r="E953" s="91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</row>
    <row r="954" ht="15.75" customHeight="1">
      <c r="A954" s="93"/>
      <c r="B954" s="91"/>
      <c r="C954" s="91"/>
      <c r="D954" s="91"/>
      <c r="E954" s="91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</row>
    <row r="955" ht="15.75" customHeight="1">
      <c r="A955" s="93"/>
      <c r="B955" s="91"/>
      <c r="C955" s="91"/>
      <c r="D955" s="91"/>
      <c r="E955" s="91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</row>
    <row r="956" ht="15.75" customHeight="1">
      <c r="A956" s="93"/>
      <c r="B956" s="91"/>
      <c r="C956" s="91"/>
      <c r="D956" s="91"/>
      <c r="E956" s="91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</row>
    <row r="957" ht="15.75" customHeight="1">
      <c r="A957" s="93"/>
      <c r="B957" s="91"/>
      <c r="C957" s="91"/>
      <c r="D957" s="91"/>
      <c r="E957" s="91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</row>
    <row r="958" ht="15.75" customHeight="1">
      <c r="A958" s="93"/>
      <c r="B958" s="91"/>
      <c r="C958" s="91"/>
      <c r="D958" s="91"/>
      <c r="E958" s="91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</row>
    <row r="959" ht="15.75" customHeight="1">
      <c r="A959" s="93"/>
      <c r="B959" s="91"/>
      <c r="C959" s="91"/>
      <c r="D959" s="91"/>
      <c r="E959" s="91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</row>
    <row r="960" ht="15.75" customHeight="1">
      <c r="A960" s="93"/>
      <c r="B960" s="91"/>
      <c r="C960" s="91"/>
      <c r="D960" s="91"/>
      <c r="E960" s="91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</row>
    <row r="961" ht="15.75" customHeight="1">
      <c r="A961" s="93"/>
      <c r="B961" s="91"/>
      <c r="C961" s="91"/>
      <c r="D961" s="91"/>
      <c r="E961" s="91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</row>
    <row r="962" ht="15.75" customHeight="1">
      <c r="A962" s="93"/>
      <c r="B962" s="91"/>
      <c r="C962" s="91"/>
      <c r="D962" s="91"/>
      <c r="E962" s="91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</row>
    <row r="963" ht="15.75" customHeight="1">
      <c r="A963" s="93"/>
      <c r="B963" s="91"/>
      <c r="C963" s="91"/>
      <c r="D963" s="91"/>
      <c r="E963" s="91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</row>
    <row r="964" ht="15.75" customHeight="1">
      <c r="A964" s="93"/>
      <c r="B964" s="91"/>
      <c r="C964" s="91"/>
      <c r="D964" s="91"/>
      <c r="E964" s="91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</row>
    <row r="965" ht="15.75" customHeight="1">
      <c r="A965" s="93"/>
      <c r="B965" s="91"/>
      <c r="C965" s="91"/>
      <c r="D965" s="91"/>
      <c r="E965" s="91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</row>
    <row r="966" ht="15.75" customHeight="1">
      <c r="A966" s="93"/>
      <c r="B966" s="91"/>
      <c r="C966" s="91"/>
      <c r="D966" s="91"/>
      <c r="E966" s="91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</row>
    <row r="967" ht="15.75" customHeight="1">
      <c r="A967" s="93"/>
      <c r="B967" s="91"/>
      <c r="C967" s="91"/>
      <c r="D967" s="91"/>
      <c r="E967" s="91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</row>
    <row r="968" ht="15.75" customHeight="1">
      <c r="A968" s="93"/>
      <c r="B968" s="91"/>
      <c r="C968" s="91"/>
      <c r="D968" s="91"/>
      <c r="E968" s="91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</row>
    <row r="969" ht="15.75" customHeight="1">
      <c r="A969" s="93"/>
      <c r="B969" s="91"/>
      <c r="C969" s="91"/>
      <c r="D969" s="91"/>
      <c r="E969" s="91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</row>
    <row r="970" ht="15.75" customHeight="1">
      <c r="A970" s="93"/>
      <c r="B970" s="91"/>
      <c r="C970" s="91"/>
      <c r="D970" s="91"/>
      <c r="E970" s="91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</row>
    <row r="971" ht="15.75" customHeight="1">
      <c r="A971" s="93"/>
      <c r="B971" s="91"/>
      <c r="C971" s="91"/>
      <c r="D971" s="91"/>
      <c r="E971" s="91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</row>
    <row r="972" ht="15.75" customHeight="1">
      <c r="A972" s="93"/>
      <c r="B972" s="91"/>
      <c r="C972" s="91"/>
      <c r="D972" s="91"/>
      <c r="E972" s="91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</row>
    <row r="973" ht="15.75" customHeight="1">
      <c r="A973" s="93"/>
      <c r="B973" s="91"/>
      <c r="C973" s="91"/>
      <c r="D973" s="91"/>
      <c r="E973" s="91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</row>
    <row r="974" ht="15.75" customHeight="1">
      <c r="A974" s="93"/>
      <c r="B974" s="91"/>
      <c r="C974" s="91"/>
      <c r="D974" s="91"/>
      <c r="E974" s="91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</row>
    <row r="975" ht="15.75" customHeight="1">
      <c r="A975" s="93"/>
      <c r="B975" s="91"/>
      <c r="C975" s="91"/>
      <c r="D975" s="91"/>
      <c r="E975" s="91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</row>
    <row r="976" ht="15.75" customHeight="1">
      <c r="A976" s="93"/>
      <c r="B976" s="91"/>
      <c r="C976" s="91"/>
      <c r="D976" s="91"/>
      <c r="E976" s="91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</row>
    <row r="977" ht="15.75" customHeight="1">
      <c r="A977" s="93"/>
      <c r="B977" s="91"/>
      <c r="C977" s="91"/>
      <c r="D977" s="91"/>
      <c r="E977" s="91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</row>
    <row r="978" ht="15.75" customHeight="1">
      <c r="A978" s="93"/>
      <c r="B978" s="91"/>
      <c r="C978" s="91"/>
      <c r="D978" s="91"/>
      <c r="E978" s="91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</row>
    <row r="979" ht="15.75" customHeight="1">
      <c r="A979" s="93"/>
      <c r="B979" s="91"/>
      <c r="C979" s="91"/>
      <c r="D979" s="91"/>
      <c r="E979" s="91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</row>
    <row r="980" ht="15.75" customHeight="1">
      <c r="A980" s="93"/>
      <c r="B980" s="91"/>
      <c r="C980" s="91"/>
      <c r="D980" s="91"/>
      <c r="E980" s="91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</row>
    <row r="981" ht="15.75" customHeight="1">
      <c r="A981" s="93"/>
      <c r="B981" s="91"/>
      <c r="C981" s="91"/>
      <c r="D981" s="91"/>
      <c r="E981" s="91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</row>
    <row r="982" ht="15.75" customHeight="1">
      <c r="A982" s="93"/>
      <c r="B982" s="91"/>
      <c r="C982" s="91"/>
      <c r="D982" s="91"/>
      <c r="E982" s="91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</row>
    <row r="983" ht="15.75" customHeight="1">
      <c r="A983" s="93"/>
      <c r="B983" s="91"/>
      <c r="C983" s="91"/>
      <c r="D983" s="91"/>
      <c r="E983" s="91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</row>
    <row r="984" ht="15.75" customHeight="1">
      <c r="A984" s="93"/>
      <c r="B984" s="91"/>
      <c r="C984" s="91"/>
      <c r="D984" s="91"/>
      <c r="E984" s="91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</row>
    <row r="985" ht="15.75" customHeight="1">
      <c r="A985" s="93"/>
      <c r="B985" s="91"/>
      <c r="C985" s="91"/>
      <c r="D985" s="91"/>
      <c r="E985" s="91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</row>
    <row r="986" ht="15.75" customHeight="1">
      <c r="A986" s="93"/>
      <c r="B986" s="91"/>
      <c r="C986" s="91"/>
      <c r="D986" s="91"/>
      <c r="E986" s="91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</row>
    <row r="987" ht="15.75" customHeight="1">
      <c r="A987" s="93"/>
      <c r="B987" s="91"/>
      <c r="C987" s="91"/>
      <c r="D987" s="91"/>
      <c r="E987" s="91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</row>
    <row r="988" ht="15.75" customHeight="1">
      <c r="A988" s="93"/>
      <c r="B988" s="91"/>
      <c r="C988" s="91"/>
      <c r="D988" s="91"/>
      <c r="E988" s="91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</row>
    <row r="989" ht="15.75" customHeight="1">
      <c r="A989" s="93"/>
      <c r="B989" s="91"/>
      <c r="C989" s="91"/>
      <c r="D989" s="91"/>
      <c r="E989" s="91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</row>
    <row r="990" ht="15.75" customHeight="1">
      <c r="A990" s="93"/>
      <c r="B990" s="91"/>
      <c r="C990" s="91"/>
      <c r="D990" s="91"/>
      <c r="E990" s="91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</row>
    <row r="991" ht="15.75" customHeight="1">
      <c r="A991" s="93"/>
      <c r="B991" s="91"/>
      <c r="C991" s="91"/>
      <c r="D991" s="91"/>
      <c r="E991" s="91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</row>
    <row r="992" ht="15.75" customHeight="1">
      <c r="A992" s="93"/>
      <c r="B992" s="91"/>
      <c r="C992" s="91"/>
      <c r="D992" s="91"/>
      <c r="E992" s="91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</row>
    <row r="993" ht="15.75" customHeight="1">
      <c r="A993" s="93"/>
      <c r="B993" s="91"/>
      <c r="C993" s="91"/>
      <c r="D993" s="91"/>
      <c r="E993" s="91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</row>
    <row r="994" ht="15.75" customHeight="1">
      <c r="A994" s="93"/>
      <c r="B994" s="91"/>
      <c r="C994" s="91"/>
      <c r="D994" s="91"/>
      <c r="E994" s="91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</row>
    <row r="995" ht="15.75" customHeight="1">
      <c r="A995" s="93"/>
      <c r="B995" s="91"/>
      <c r="C995" s="91"/>
      <c r="D995" s="91"/>
      <c r="E995" s="91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</row>
    <row r="996" ht="15.75" customHeight="1">
      <c r="A996" s="93"/>
      <c r="B996" s="91"/>
      <c r="C996" s="91"/>
      <c r="D996" s="91"/>
      <c r="E996" s="91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</row>
    <row r="997" ht="15.75" customHeight="1">
      <c r="A997" s="93"/>
      <c r="B997" s="91"/>
      <c r="C997" s="91"/>
      <c r="D997" s="91"/>
      <c r="E997" s="91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</row>
    <row r="998" ht="15.75" customHeight="1">
      <c r="A998" s="93"/>
      <c r="B998" s="91"/>
      <c r="C998" s="91"/>
      <c r="D998" s="91"/>
      <c r="E998" s="91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</row>
    <row r="999" ht="15.75" customHeight="1">
      <c r="A999" s="93"/>
      <c r="B999" s="91"/>
      <c r="C999" s="91"/>
      <c r="D999" s="91"/>
      <c r="E999" s="91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</row>
    <row r="1000" ht="15.75" customHeight="1">
      <c r="A1000" s="93"/>
      <c r="B1000" s="91"/>
      <c r="C1000" s="91"/>
      <c r="D1000" s="91"/>
      <c r="E1000" s="91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</row>
  </sheetData>
  <mergeCells count="3">
    <mergeCell ref="A3:D3"/>
    <mergeCell ref="F3:I3"/>
    <mergeCell ref="A14:D14"/>
  </mergeCells>
  <hyperlinks>
    <hyperlink r:id="rId1" location="gid=1678037206" ref="B1"/>
  </hyperlinks>
  <drawing r:id="rId2"/>
  <tableParts count="10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7.0"/>
    <col customWidth="1" min="3" max="3" width="15.29"/>
    <col customWidth="1" min="4" max="4" width="18.14"/>
    <col customWidth="1" min="5" max="5" width="18.71"/>
    <col customWidth="1" min="6" max="6" width="13.29"/>
    <col customWidth="1" min="7" max="7" width="34.43"/>
    <col customWidth="1" min="8" max="8" width="47.29"/>
    <col customWidth="1" min="9" max="9" width="36.14"/>
    <col customWidth="1" min="10" max="10" width="29.57"/>
    <col customWidth="1" min="11" max="11" width="25.43"/>
    <col customWidth="1" min="12" max="12" width="36.14"/>
    <col customWidth="1" min="13" max="14" width="8.71"/>
    <col customWidth="1" min="15" max="15" width="10.29"/>
    <col customWidth="1" min="16" max="22" width="8.71"/>
  </cols>
  <sheetData>
    <row r="1" ht="17.25" customHeight="1">
      <c r="A1" s="146" t="s">
        <v>249</v>
      </c>
      <c r="B1" s="94"/>
      <c r="C1" s="94"/>
      <c r="D1" s="94"/>
      <c r="E1" s="94"/>
      <c r="F1" s="94"/>
      <c r="G1" s="94"/>
      <c r="H1" s="94"/>
      <c r="I1" s="94"/>
      <c r="J1" s="147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48" t="s">
        <v>201</v>
      </c>
      <c r="E3" s="149"/>
      <c r="F3" s="93"/>
      <c r="G3" s="150" t="s">
        <v>202</v>
      </c>
      <c r="L3" s="151"/>
      <c r="M3" s="151"/>
      <c r="N3" s="151"/>
      <c r="O3" s="151"/>
      <c r="P3" s="151"/>
      <c r="Q3" s="151"/>
      <c r="R3" s="93"/>
      <c r="S3" s="93"/>
      <c r="T3" s="93"/>
      <c r="U3" s="93"/>
      <c r="V3" s="93"/>
      <c r="W3" s="93"/>
      <c r="X3" s="93"/>
      <c r="Y3" s="93"/>
      <c r="Z3" s="93"/>
    </row>
    <row r="4" ht="48.0" customHeight="1">
      <c r="A4" s="152"/>
      <c r="B4" s="153" t="s">
        <v>250</v>
      </c>
      <c r="C4" s="153" t="s">
        <v>251</v>
      </c>
      <c r="D4" s="153" t="s">
        <v>205</v>
      </c>
      <c r="E4" s="149"/>
      <c r="F4" s="93"/>
      <c r="G4" s="154"/>
      <c r="H4" s="153" t="s">
        <v>206</v>
      </c>
      <c r="I4" s="153" t="s">
        <v>207</v>
      </c>
      <c r="J4" s="155" t="s">
        <v>208</v>
      </c>
      <c r="K4" s="153" t="s">
        <v>209</v>
      </c>
      <c r="L4" s="153" t="s">
        <v>210</v>
      </c>
      <c r="M4" s="153" t="s">
        <v>211</v>
      </c>
      <c r="N4" s="153" t="s">
        <v>212</v>
      </c>
      <c r="O4" s="153" t="s">
        <v>213</v>
      </c>
      <c r="P4" s="153" t="s">
        <v>214</v>
      </c>
      <c r="Q4" s="153" t="s">
        <v>215</v>
      </c>
      <c r="R4" s="93"/>
      <c r="S4" s="93"/>
      <c r="T4" s="93"/>
      <c r="U4" s="93"/>
      <c r="V4" s="93"/>
      <c r="W4" s="93"/>
      <c r="X4" s="93"/>
      <c r="Y4" s="93"/>
      <c r="Z4" s="93"/>
    </row>
    <row r="5" ht="22.5" customHeight="1">
      <c r="A5" s="156" t="s">
        <v>226</v>
      </c>
      <c r="B5" s="157">
        <v>61.0</v>
      </c>
      <c r="C5" s="158">
        <f t="shared" ref="C5:C10" si="1">(D5-B5)</f>
        <v>20</v>
      </c>
      <c r="D5" s="159">
        <f t="shared" ref="D5:D10" si="2">IF(B5&lt;50,80,IF(B5&lt;60,80.5,IF(B5&lt;65,81,IF(B5&lt;70,81.5,IF(B5&lt;75,82,IF(B5&lt;80,82.5,IF(B5&lt; 85,87.5,90)))))))</f>
        <v>81</v>
      </c>
      <c r="E5" s="93"/>
      <c r="F5" s="93"/>
      <c r="G5" s="38"/>
      <c r="H5" s="160" t="s">
        <v>252</v>
      </c>
      <c r="I5" s="160" t="s">
        <v>253</v>
      </c>
      <c r="J5" s="160" t="s">
        <v>254</v>
      </c>
      <c r="K5" s="160" t="s">
        <v>255</v>
      </c>
      <c r="L5" s="160" t="s">
        <v>256</v>
      </c>
      <c r="M5" s="160" t="s">
        <v>257</v>
      </c>
      <c r="N5" s="160" t="s">
        <v>258</v>
      </c>
      <c r="O5" s="160" t="s">
        <v>259</v>
      </c>
      <c r="P5" s="160" t="s">
        <v>260</v>
      </c>
      <c r="Q5" s="160" t="s">
        <v>261</v>
      </c>
      <c r="R5" s="93"/>
      <c r="S5" s="93"/>
      <c r="T5" s="93"/>
      <c r="U5" s="93"/>
      <c r="V5" s="93"/>
      <c r="W5" s="93"/>
      <c r="X5" s="93"/>
      <c r="Y5" s="93"/>
      <c r="Z5" s="93"/>
    </row>
    <row r="6">
      <c r="A6" s="156" t="s">
        <v>227</v>
      </c>
      <c r="B6" s="161">
        <v>52.0</v>
      </c>
      <c r="C6" s="158">
        <f t="shared" si="1"/>
        <v>28.5</v>
      </c>
      <c r="D6" s="159">
        <f t="shared" si="2"/>
        <v>80.5</v>
      </c>
      <c r="E6" s="93"/>
      <c r="F6" s="93"/>
      <c r="G6" s="162" t="s">
        <v>226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93"/>
      <c r="S6" s="93"/>
      <c r="T6" s="93"/>
      <c r="U6" s="93"/>
      <c r="V6" s="93"/>
      <c r="W6" s="93"/>
      <c r="X6" s="93"/>
      <c r="Y6" s="93"/>
      <c r="Z6" s="93"/>
    </row>
    <row r="7" ht="18.75" customHeight="1">
      <c r="A7" s="156" t="s">
        <v>228</v>
      </c>
      <c r="B7" s="157">
        <v>63.0</v>
      </c>
      <c r="C7" s="158">
        <f t="shared" si="1"/>
        <v>18</v>
      </c>
      <c r="D7" s="159">
        <f t="shared" si="2"/>
        <v>81</v>
      </c>
      <c r="E7" s="93"/>
      <c r="F7" s="93"/>
      <c r="G7" s="162" t="s">
        <v>227</v>
      </c>
      <c r="H7" s="164"/>
      <c r="I7" s="164"/>
      <c r="J7" s="165"/>
      <c r="K7" s="164"/>
      <c r="L7" s="164"/>
      <c r="M7" s="164"/>
      <c r="N7" s="164"/>
      <c r="O7" s="164"/>
      <c r="P7" s="164"/>
      <c r="Q7" s="164"/>
      <c r="R7" s="93"/>
      <c r="S7" s="93"/>
      <c r="T7" s="93"/>
      <c r="U7" s="93"/>
      <c r="V7" s="93"/>
      <c r="W7" s="93"/>
      <c r="X7" s="93"/>
      <c r="Y7" s="93"/>
      <c r="Z7" s="93"/>
    </row>
    <row r="8">
      <c r="A8" s="156" t="s">
        <v>229</v>
      </c>
      <c r="B8" s="161">
        <v>57.0</v>
      </c>
      <c r="C8" s="158">
        <f t="shared" si="1"/>
        <v>23.5</v>
      </c>
      <c r="D8" s="159">
        <f t="shared" si="2"/>
        <v>80.5</v>
      </c>
      <c r="E8" s="93"/>
      <c r="F8" s="93"/>
      <c r="G8" s="162" t="s">
        <v>228</v>
      </c>
      <c r="H8" s="166"/>
      <c r="I8" s="164"/>
      <c r="J8" s="164"/>
      <c r="K8" s="164"/>
      <c r="L8" s="164"/>
      <c r="M8" s="164"/>
      <c r="N8" s="164"/>
      <c r="O8" s="164"/>
      <c r="P8" s="164"/>
      <c r="Q8" s="164"/>
      <c r="R8" s="93"/>
      <c r="S8" s="93"/>
      <c r="T8" s="93"/>
      <c r="U8" s="93"/>
      <c r="V8" s="93"/>
      <c r="W8" s="93"/>
      <c r="X8" s="93"/>
      <c r="Y8" s="93"/>
      <c r="Z8" s="93"/>
    </row>
    <row r="9">
      <c r="A9" s="156" t="s">
        <v>230</v>
      </c>
      <c r="B9" s="157">
        <v>64.0</v>
      </c>
      <c r="C9" s="158">
        <f t="shared" si="1"/>
        <v>17</v>
      </c>
      <c r="D9" s="159">
        <f t="shared" si="2"/>
        <v>81</v>
      </c>
      <c r="E9" s="93"/>
      <c r="F9" s="93"/>
      <c r="G9" s="162" t="s">
        <v>229</v>
      </c>
      <c r="H9" s="167"/>
      <c r="I9" s="163"/>
      <c r="J9" s="163"/>
      <c r="K9" s="163"/>
      <c r="L9" s="163"/>
      <c r="M9" s="163"/>
      <c r="N9" s="163"/>
      <c r="O9" s="163"/>
      <c r="P9" s="163"/>
      <c r="Q9" s="163"/>
      <c r="R9" s="93"/>
      <c r="S9" s="93"/>
      <c r="T9" s="93"/>
      <c r="U9" s="93"/>
      <c r="V9" s="93"/>
      <c r="W9" s="93"/>
      <c r="X9" s="93"/>
      <c r="Y9" s="93"/>
      <c r="Z9" s="93"/>
    </row>
    <row r="10" ht="22.5" customHeight="1">
      <c r="A10" s="156" t="s">
        <v>231</v>
      </c>
      <c r="B10" s="161">
        <v>61.0</v>
      </c>
      <c r="C10" s="168">
        <f t="shared" si="1"/>
        <v>20</v>
      </c>
      <c r="D10" s="169">
        <f t="shared" si="2"/>
        <v>81</v>
      </c>
      <c r="E10" s="170"/>
      <c r="F10" s="93"/>
      <c r="G10" s="162" t="s">
        <v>230</v>
      </c>
      <c r="H10" s="164"/>
      <c r="I10" s="164"/>
      <c r="J10" s="165"/>
      <c r="K10" s="164"/>
      <c r="L10" s="164"/>
      <c r="M10" s="164"/>
      <c r="N10" s="164"/>
      <c r="O10" s="164"/>
      <c r="P10" s="164"/>
      <c r="Q10" s="164"/>
      <c r="R10" s="93"/>
      <c r="S10" s="93"/>
      <c r="T10" s="93"/>
      <c r="U10" s="93"/>
      <c r="V10" s="93"/>
      <c r="W10" s="93"/>
      <c r="X10" s="93"/>
      <c r="Y10" s="93"/>
      <c r="Z10" s="93"/>
    </row>
    <row r="11" ht="18.0" customHeight="1">
      <c r="A11" s="93"/>
      <c r="B11" s="93"/>
      <c r="C11" s="93"/>
      <c r="D11" s="93"/>
      <c r="E11" s="93"/>
      <c r="F11" s="93"/>
      <c r="G11" s="162" t="s">
        <v>231</v>
      </c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72.0" customHeight="1">
      <c r="A13" s="171" t="s">
        <v>128</v>
      </c>
      <c r="B13" s="171" t="s">
        <v>129</v>
      </c>
      <c r="C13" s="171" t="s">
        <v>130</v>
      </c>
      <c r="D13" s="172" t="s">
        <v>262</v>
      </c>
      <c r="E13" s="172" t="s">
        <v>263</v>
      </c>
      <c r="F13" s="173" t="s">
        <v>132</v>
      </c>
      <c r="G13" s="129" t="s">
        <v>134</v>
      </c>
      <c r="H13" s="129" t="s">
        <v>11</v>
      </c>
      <c r="I13" s="129" t="s">
        <v>12</v>
      </c>
      <c r="J13" s="129" t="s">
        <v>13</v>
      </c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87">
        <v>1.0</v>
      </c>
      <c r="B14" s="16">
        <v>5.0</v>
      </c>
      <c r="C14" s="174">
        <f t="shared" ref="C14:C43" si="3">IF(B14=1,$D$5,IF(B14=2,$D$6,IF(B14=3,$D$7,IF(B14=4,$D$8,IF(B14=5, $D$9,IF(B14=6,$D$10))))))</f>
        <v>81</v>
      </c>
      <c r="D14" s="175"/>
      <c r="E14" s="175"/>
      <c r="F14" s="176">
        <f t="shared" ref="F14:F43" si="4">sum(C14+D14+E14)</f>
        <v>81</v>
      </c>
      <c r="G14" s="133" t="s">
        <v>20</v>
      </c>
      <c r="H14" s="133" t="s">
        <v>21</v>
      </c>
      <c r="I14" s="134" t="s">
        <v>6</v>
      </c>
      <c r="J14" s="135" t="s">
        <v>22</v>
      </c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87">
        <v>2.0</v>
      </c>
      <c r="B15" s="16">
        <v>5.0</v>
      </c>
      <c r="C15" s="177">
        <f t="shared" si="3"/>
        <v>81</v>
      </c>
      <c r="D15" s="178">
        <v>1.0</v>
      </c>
      <c r="E15" s="179"/>
      <c r="F15" s="180">
        <f t="shared" si="4"/>
        <v>82</v>
      </c>
      <c r="G15" s="133" t="s">
        <v>24</v>
      </c>
      <c r="H15" s="133" t="s">
        <v>25</v>
      </c>
      <c r="I15" s="134" t="s">
        <v>3</v>
      </c>
      <c r="J15" s="135" t="s">
        <v>26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1.0" customHeight="1">
      <c r="A16" s="87">
        <v>3.0</v>
      </c>
      <c r="B16" s="16">
        <v>3.0</v>
      </c>
      <c r="C16" s="174">
        <f t="shared" si="3"/>
        <v>81</v>
      </c>
      <c r="D16" s="175"/>
      <c r="E16" s="175"/>
      <c r="F16" s="181">
        <f t="shared" si="4"/>
        <v>81</v>
      </c>
      <c r="G16" s="133" t="s">
        <v>28</v>
      </c>
      <c r="H16" s="133" t="s">
        <v>29</v>
      </c>
      <c r="I16" s="134" t="s">
        <v>3</v>
      </c>
      <c r="J16" s="133" t="s">
        <v>30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1.0" customHeight="1">
      <c r="A17" s="87">
        <v>4.0</v>
      </c>
      <c r="B17" s="16">
        <v>6.0</v>
      </c>
      <c r="C17" s="177">
        <f t="shared" si="3"/>
        <v>81</v>
      </c>
      <c r="D17" s="178">
        <v>1.0</v>
      </c>
      <c r="E17" s="179"/>
      <c r="F17" s="181">
        <f t="shared" si="4"/>
        <v>82</v>
      </c>
      <c r="G17" s="133" t="s">
        <v>32</v>
      </c>
      <c r="H17" s="133" t="s">
        <v>33</v>
      </c>
      <c r="I17" s="134" t="s">
        <v>6</v>
      </c>
      <c r="J17" s="135" t="s">
        <v>30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87">
        <v>5.0</v>
      </c>
      <c r="B18" s="16">
        <v>1.0</v>
      </c>
      <c r="C18" s="174">
        <f t="shared" si="3"/>
        <v>81</v>
      </c>
      <c r="D18" s="175"/>
      <c r="E18" s="175"/>
      <c r="F18" s="181">
        <f t="shared" si="4"/>
        <v>81</v>
      </c>
      <c r="G18" s="133" t="s">
        <v>35</v>
      </c>
      <c r="H18" s="133" t="s">
        <v>36</v>
      </c>
      <c r="I18" s="134" t="s">
        <v>6</v>
      </c>
      <c r="J18" s="135" t="s">
        <v>30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8.75" customHeight="1">
      <c r="A19" s="87">
        <v>6.0</v>
      </c>
      <c r="B19" s="16">
        <v>6.0</v>
      </c>
      <c r="C19" s="177">
        <f t="shared" si="3"/>
        <v>81</v>
      </c>
      <c r="D19" s="179"/>
      <c r="E19" s="179"/>
      <c r="F19" s="181">
        <f t="shared" si="4"/>
        <v>81</v>
      </c>
      <c r="G19" s="133" t="s">
        <v>38</v>
      </c>
      <c r="H19" s="133" t="s">
        <v>39</v>
      </c>
      <c r="I19" s="134" t="s">
        <v>2</v>
      </c>
      <c r="J19" s="133" t="s">
        <v>40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9.25" customHeight="1">
      <c r="A20" s="87">
        <v>7.0</v>
      </c>
      <c r="B20" s="16">
        <v>5.0</v>
      </c>
      <c r="C20" s="174">
        <f t="shared" si="3"/>
        <v>81</v>
      </c>
      <c r="D20" s="175"/>
      <c r="E20" s="175"/>
      <c r="F20" s="181">
        <f t="shared" si="4"/>
        <v>81</v>
      </c>
      <c r="G20" s="133" t="s">
        <v>42</v>
      </c>
      <c r="H20" s="133" t="s">
        <v>43</v>
      </c>
      <c r="I20" s="134" t="s">
        <v>6</v>
      </c>
      <c r="J20" s="133" t="s">
        <v>40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9.25" customHeight="1">
      <c r="A21" s="87">
        <v>8.0</v>
      </c>
      <c r="B21" s="16">
        <v>5.0</v>
      </c>
      <c r="C21" s="177">
        <f t="shared" si="3"/>
        <v>81</v>
      </c>
      <c r="D21" s="179"/>
      <c r="E21" s="179"/>
      <c r="F21" s="181">
        <f t="shared" si="4"/>
        <v>81</v>
      </c>
      <c r="G21" s="133" t="s">
        <v>45</v>
      </c>
      <c r="H21" s="133" t="s">
        <v>46</v>
      </c>
      <c r="I21" s="134" t="s">
        <v>3</v>
      </c>
      <c r="J21" s="133" t="s">
        <v>47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87">
        <v>9.0</v>
      </c>
      <c r="B22" s="16">
        <v>2.0</v>
      </c>
      <c r="C22" s="174">
        <f t="shared" si="3"/>
        <v>80.5</v>
      </c>
      <c r="D22" s="175"/>
      <c r="E22" s="175"/>
      <c r="F22" s="181">
        <f t="shared" si="4"/>
        <v>80.5</v>
      </c>
      <c r="G22" s="133" t="s">
        <v>49</v>
      </c>
      <c r="H22" s="133" t="s">
        <v>50</v>
      </c>
      <c r="I22" s="134" t="s">
        <v>4</v>
      </c>
      <c r="J22" s="135" t="s">
        <v>30</v>
      </c>
      <c r="K22" s="94"/>
      <c r="L22" s="94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87">
        <v>10.0</v>
      </c>
      <c r="B23" s="16">
        <v>1.0</v>
      </c>
      <c r="C23" s="177">
        <f t="shared" si="3"/>
        <v>81</v>
      </c>
      <c r="D23" s="179"/>
      <c r="E23" s="179"/>
      <c r="F23" s="181">
        <f t="shared" si="4"/>
        <v>81</v>
      </c>
      <c r="G23" s="133" t="s">
        <v>52</v>
      </c>
      <c r="H23" s="133" t="s">
        <v>53</v>
      </c>
      <c r="I23" s="134" t="s">
        <v>6</v>
      </c>
      <c r="J23" s="133" t="s">
        <v>30</v>
      </c>
      <c r="K23" s="94"/>
      <c r="L23" s="94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87">
        <v>11.0</v>
      </c>
      <c r="B24" s="16">
        <v>6.0</v>
      </c>
      <c r="C24" s="174">
        <f t="shared" si="3"/>
        <v>81</v>
      </c>
      <c r="D24" s="175"/>
      <c r="E24" s="175"/>
      <c r="F24" s="181">
        <f t="shared" si="4"/>
        <v>81</v>
      </c>
      <c r="G24" s="133" t="s">
        <v>55</v>
      </c>
      <c r="H24" s="133" t="s">
        <v>56</v>
      </c>
      <c r="I24" s="134" t="s">
        <v>5</v>
      </c>
      <c r="J24" s="133" t="s">
        <v>22</v>
      </c>
      <c r="K24" s="94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87">
        <v>12.0</v>
      </c>
      <c r="B25" s="16">
        <v>3.0</v>
      </c>
      <c r="C25" s="177">
        <f t="shared" si="3"/>
        <v>81</v>
      </c>
      <c r="D25" s="178">
        <v>1.0</v>
      </c>
      <c r="E25" s="178">
        <v>2.0</v>
      </c>
      <c r="F25" s="181">
        <f t="shared" si="4"/>
        <v>84</v>
      </c>
      <c r="G25" s="133" t="s">
        <v>58</v>
      </c>
      <c r="H25" s="133" t="s">
        <v>59</v>
      </c>
      <c r="I25" s="134" t="s">
        <v>2</v>
      </c>
      <c r="J25" s="135" t="s">
        <v>40</v>
      </c>
      <c r="K25" s="94"/>
      <c r="L25" s="94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87">
        <v>13.0</v>
      </c>
      <c r="B26" s="16">
        <v>2.0</v>
      </c>
      <c r="C26" s="174">
        <f t="shared" si="3"/>
        <v>80.5</v>
      </c>
      <c r="D26" s="175"/>
      <c r="E26" s="175"/>
      <c r="F26" s="181">
        <f t="shared" si="4"/>
        <v>80.5</v>
      </c>
      <c r="G26" s="133" t="s">
        <v>61</v>
      </c>
      <c r="H26" s="133" t="s">
        <v>62</v>
      </c>
      <c r="I26" s="134" t="s">
        <v>6</v>
      </c>
      <c r="J26" s="133" t="s">
        <v>22</v>
      </c>
      <c r="K26" s="94"/>
      <c r="L26" s="94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87">
        <v>14.0</v>
      </c>
      <c r="B27" s="16">
        <v>3.0</v>
      </c>
      <c r="C27" s="177">
        <f t="shared" si="3"/>
        <v>81</v>
      </c>
      <c r="D27" s="179"/>
      <c r="E27" s="179"/>
      <c r="F27" s="181">
        <f t="shared" si="4"/>
        <v>81</v>
      </c>
      <c r="G27" s="133" t="s">
        <v>64</v>
      </c>
      <c r="H27" s="133" t="s">
        <v>65</v>
      </c>
      <c r="I27" s="134" t="s">
        <v>3</v>
      </c>
      <c r="J27" s="135" t="s">
        <v>30</v>
      </c>
      <c r="K27" s="94"/>
      <c r="L27" s="94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87">
        <v>15.0</v>
      </c>
      <c r="B28" s="16">
        <v>2.0</v>
      </c>
      <c r="C28" s="174">
        <f t="shared" si="3"/>
        <v>80.5</v>
      </c>
      <c r="D28" s="182">
        <v>1.0</v>
      </c>
      <c r="E28" s="175"/>
      <c r="F28" s="181">
        <f t="shared" si="4"/>
        <v>81.5</v>
      </c>
      <c r="G28" s="133" t="s">
        <v>67</v>
      </c>
      <c r="H28" s="133" t="s">
        <v>68</v>
      </c>
      <c r="I28" s="134" t="s">
        <v>6</v>
      </c>
      <c r="J28" s="133" t="s">
        <v>47</v>
      </c>
      <c r="K28" s="94"/>
      <c r="L28" s="94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87">
        <v>16.0</v>
      </c>
      <c r="B29" s="16">
        <v>1.0</v>
      </c>
      <c r="C29" s="177">
        <f t="shared" si="3"/>
        <v>81</v>
      </c>
      <c r="D29" s="179"/>
      <c r="E29" s="179"/>
      <c r="F29" s="181">
        <f t="shared" si="4"/>
        <v>81</v>
      </c>
      <c r="G29" s="133" t="s">
        <v>70</v>
      </c>
      <c r="H29" s="133" t="s">
        <v>71</v>
      </c>
      <c r="I29" s="134" t="s">
        <v>6</v>
      </c>
      <c r="J29" s="133" t="s">
        <v>72</v>
      </c>
      <c r="K29" s="94"/>
      <c r="L29" s="94"/>
      <c r="M29" s="94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87">
        <v>17.0</v>
      </c>
      <c r="B30" s="16">
        <v>5.0</v>
      </c>
      <c r="C30" s="183">
        <f t="shared" si="3"/>
        <v>81</v>
      </c>
      <c r="D30" s="184">
        <v>1.0</v>
      </c>
      <c r="E30" s="184">
        <v>2.0</v>
      </c>
      <c r="F30" s="181">
        <f t="shared" si="4"/>
        <v>84</v>
      </c>
      <c r="G30" s="133" t="s">
        <v>74</v>
      </c>
      <c r="H30" s="133" t="s">
        <v>75</v>
      </c>
      <c r="I30" s="134" t="s">
        <v>6</v>
      </c>
      <c r="J30" s="133" t="s">
        <v>47</v>
      </c>
      <c r="K30" s="94"/>
      <c r="L30" s="94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87">
        <v>18.0</v>
      </c>
      <c r="B31" s="16">
        <v>1.0</v>
      </c>
      <c r="C31" s="183">
        <f t="shared" si="3"/>
        <v>81</v>
      </c>
      <c r="D31" s="184">
        <v>2.0</v>
      </c>
      <c r="E31" s="184">
        <v>2.0</v>
      </c>
      <c r="F31" s="181">
        <f t="shared" si="4"/>
        <v>85</v>
      </c>
      <c r="G31" s="133" t="s">
        <v>77</v>
      </c>
      <c r="H31" s="133" t="s">
        <v>78</v>
      </c>
      <c r="I31" s="134" t="s">
        <v>3</v>
      </c>
      <c r="J31" s="135" t="s">
        <v>40</v>
      </c>
      <c r="K31" s="94"/>
      <c r="L31" s="94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87">
        <v>19.0</v>
      </c>
      <c r="B32" s="16">
        <v>1.0</v>
      </c>
      <c r="C32" s="183">
        <f t="shared" si="3"/>
        <v>81</v>
      </c>
      <c r="D32" s="185"/>
      <c r="E32" s="185"/>
      <c r="F32" s="181">
        <f t="shared" si="4"/>
        <v>81</v>
      </c>
      <c r="G32" s="133" t="s">
        <v>80</v>
      </c>
      <c r="H32" s="133" t="s">
        <v>81</v>
      </c>
      <c r="I32" s="134" t="s">
        <v>6</v>
      </c>
      <c r="J32" s="135" t="s">
        <v>40</v>
      </c>
      <c r="K32" s="94"/>
      <c r="L32" s="94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87">
        <v>20.0</v>
      </c>
      <c r="B33" s="16">
        <v>4.0</v>
      </c>
      <c r="C33" s="183">
        <f t="shared" si="3"/>
        <v>80.5</v>
      </c>
      <c r="D33" s="185"/>
      <c r="E33" s="185"/>
      <c r="F33" s="181">
        <f t="shared" si="4"/>
        <v>80.5</v>
      </c>
      <c r="G33" s="133" t="s">
        <v>83</v>
      </c>
      <c r="H33" s="133" t="s">
        <v>84</v>
      </c>
      <c r="I33" s="134" t="s">
        <v>6</v>
      </c>
      <c r="J33" s="133" t="s">
        <v>30</v>
      </c>
      <c r="K33" s="94"/>
      <c r="L33" s="94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87">
        <v>21.0</v>
      </c>
      <c r="B34" s="16">
        <v>3.0</v>
      </c>
      <c r="C34" s="183">
        <f t="shared" si="3"/>
        <v>81</v>
      </c>
      <c r="D34" s="185"/>
      <c r="E34" s="185"/>
      <c r="F34" s="181">
        <f t="shared" si="4"/>
        <v>81</v>
      </c>
      <c r="G34" s="133" t="s">
        <v>86</v>
      </c>
      <c r="H34" s="133" t="s">
        <v>87</v>
      </c>
      <c r="I34" s="134" t="s">
        <v>6</v>
      </c>
      <c r="J34" s="135" t="s">
        <v>72</v>
      </c>
      <c r="K34" s="94"/>
      <c r="L34" s="94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87">
        <v>22.0</v>
      </c>
      <c r="B35" s="16">
        <v>2.0</v>
      </c>
      <c r="C35" s="183">
        <f t="shared" si="3"/>
        <v>80.5</v>
      </c>
      <c r="D35" s="184">
        <v>1.0</v>
      </c>
      <c r="E35" s="185"/>
      <c r="F35" s="181">
        <f t="shared" si="4"/>
        <v>81.5</v>
      </c>
      <c r="G35" s="133" t="s">
        <v>89</v>
      </c>
      <c r="H35" s="133" t="s">
        <v>90</v>
      </c>
      <c r="I35" s="134" t="s">
        <v>6</v>
      </c>
      <c r="J35" s="133" t="s">
        <v>47</v>
      </c>
      <c r="K35" s="94"/>
      <c r="L35" s="94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87">
        <v>23.0</v>
      </c>
      <c r="B36" s="16">
        <v>4.0</v>
      </c>
      <c r="C36" s="183">
        <f t="shared" si="3"/>
        <v>80.5</v>
      </c>
      <c r="D36" s="185"/>
      <c r="E36" s="185"/>
      <c r="F36" s="181">
        <f t="shared" si="4"/>
        <v>80.5</v>
      </c>
      <c r="G36" s="133" t="s">
        <v>92</v>
      </c>
      <c r="H36" s="133" t="s">
        <v>93</v>
      </c>
      <c r="I36" s="134" t="s">
        <v>6</v>
      </c>
      <c r="J36" s="133" t="s">
        <v>94</v>
      </c>
      <c r="K36" s="94"/>
      <c r="L36" s="94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87">
        <v>24.0</v>
      </c>
      <c r="B37" s="16">
        <v>4.0</v>
      </c>
      <c r="C37" s="183">
        <f t="shared" si="3"/>
        <v>80.5</v>
      </c>
      <c r="D37" s="185"/>
      <c r="E37" s="185"/>
      <c r="F37" s="181">
        <f t="shared" si="4"/>
        <v>80.5</v>
      </c>
      <c r="G37" s="133" t="s">
        <v>96</v>
      </c>
      <c r="H37" s="133" t="s">
        <v>97</v>
      </c>
      <c r="I37" s="134" t="s">
        <v>6</v>
      </c>
      <c r="J37" s="133" t="s">
        <v>98</v>
      </c>
      <c r="K37" s="94"/>
      <c r="L37" s="94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87">
        <v>25.0</v>
      </c>
      <c r="B38" s="16">
        <v>4.0</v>
      </c>
      <c r="C38" s="183">
        <f t="shared" si="3"/>
        <v>80.5</v>
      </c>
      <c r="D38" s="185"/>
      <c r="E38" s="185"/>
      <c r="F38" s="181">
        <f t="shared" si="4"/>
        <v>80.5</v>
      </c>
      <c r="G38" s="133" t="s">
        <v>100</v>
      </c>
      <c r="H38" s="133" t="s">
        <v>101</v>
      </c>
      <c r="I38" s="134" t="s">
        <v>2</v>
      </c>
      <c r="J38" s="135" t="s">
        <v>40</v>
      </c>
      <c r="K38" s="94"/>
      <c r="L38" s="94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87">
        <v>26.0</v>
      </c>
      <c r="B39" s="16">
        <v>4.0</v>
      </c>
      <c r="C39" s="183">
        <f t="shared" si="3"/>
        <v>80.5</v>
      </c>
      <c r="D39" s="184">
        <v>4.0</v>
      </c>
      <c r="E39" s="184"/>
      <c r="F39" s="181">
        <f t="shared" si="4"/>
        <v>84.5</v>
      </c>
      <c r="G39" s="133" t="s">
        <v>103</v>
      </c>
      <c r="H39" s="133" t="s">
        <v>104</v>
      </c>
      <c r="I39" s="134" t="s">
        <v>5</v>
      </c>
      <c r="J39" s="135" t="s">
        <v>30</v>
      </c>
      <c r="K39" s="94"/>
      <c r="L39" s="94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87">
        <v>27.0</v>
      </c>
      <c r="B40" s="16">
        <v>6.0</v>
      </c>
      <c r="C40" s="183">
        <f t="shared" si="3"/>
        <v>81</v>
      </c>
      <c r="D40" s="185"/>
      <c r="E40" s="185"/>
      <c r="F40" s="181">
        <f t="shared" si="4"/>
        <v>81</v>
      </c>
      <c r="G40" s="133" t="s">
        <v>106</v>
      </c>
      <c r="H40" s="133" t="s">
        <v>107</v>
      </c>
      <c r="I40" s="134" t="s">
        <v>5</v>
      </c>
      <c r="J40" s="133" t="s">
        <v>30</v>
      </c>
      <c r="K40" s="94"/>
      <c r="L40" s="94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87">
        <v>28.0</v>
      </c>
      <c r="B41" s="16">
        <v>6.0</v>
      </c>
      <c r="C41" s="183">
        <f t="shared" si="3"/>
        <v>81</v>
      </c>
      <c r="D41" s="185"/>
      <c r="E41" s="185"/>
      <c r="F41" s="181">
        <f t="shared" si="4"/>
        <v>81</v>
      </c>
      <c r="G41" s="133" t="s">
        <v>109</v>
      </c>
      <c r="H41" s="133" t="s">
        <v>110</v>
      </c>
      <c r="I41" s="134" t="s">
        <v>6</v>
      </c>
      <c r="J41" s="133" t="s">
        <v>30</v>
      </c>
      <c r="K41" s="94"/>
      <c r="L41" s="94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87">
        <v>29.0</v>
      </c>
      <c r="B42" s="16">
        <v>3.0</v>
      </c>
      <c r="C42" s="183">
        <f t="shared" si="3"/>
        <v>81</v>
      </c>
      <c r="D42" s="185"/>
      <c r="E42" s="185"/>
      <c r="F42" s="181">
        <f t="shared" si="4"/>
        <v>81</v>
      </c>
      <c r="G42" s="133" t="s">
        <v>112</v>
      </c>
      <c r="H42" s="133" t="s">
        <v>113</v>
      </c>
      <c r="I42" s="134" t="s">
        <v>6</v>
      </c>
      <c r="J42" s="135" t="s">
        <v>40</v>
      </c>
      <c r="K42" s="94"/>
      <c r="L42" s="94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87">
        <v>30.0</v>
      </c>
      <c r="B43" s="16">
        <v>2.0</v>
      </c>
      <c r="C43" s="183">
        <f t="shared" si="3"/>
        <v>80.5</v>
      </c>
      <c r="D43" s="185"/>
      <c r="E43" s="185"/>
      <c r="F43" s="181">
        <f t="shared" si="4"/>
        <v>80.5</v>
      </c>
      <c r="G43" s="133" t="s">
        <v>115</v>
      </c>
      <c r="H43" s="133" t="s">
        <v>116</v>
      </c>
      <c r="I43" s="134" t="s">
        <v>6</v>
      </c>
      <c r="J43" s="133" t="s">
        <v>72</v>
      </c>
      <c r="K43" s="94"/>
      <c r="L43" s="94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3">
    <mergeCell ref="A3:D3"/>
    <mergeCell ref="G3:K3"/>
    <mergeCell ref="G4:G5"/>
  </mergeCells>
  <hyperlinks>
    <hyperlink r:id="rId1" location="gid=1915139668" ref="A1"/>
  </hyperlinks>
  <printOptions/>
  <pageMargins bottom="0.75" footer="0.0" header="0.0" left="0.7" right="0.7" top="0.75"/>
  <pageSetup orientation="portrait"/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43"/>
    <col customWidth="1" min="2" max="2" width="19.0"/>
    <col customWidth="1" min="3" max="6" width="14.43"/>
    <col customWidth="1" min="11" max="11" width="20.57"/>
    <col customWidth="1" min="12" max="12" width="26.29"/>
  </cols>
  <sheetData>
    <row r="1" ht="57.75" customHeight="1">
      <c r="A1" s="186" t="s">
        <v>117</v>
      </c>
      <c r="B1" s="187" t="s">
        <v>264</v>
      </c>
      <c r="C1" s="188" t="s">
        <v>265</v>
      </c>
      <c r="D1" s="189" t="s">
        <v>266</v>
      </c>
      <c r="E1" s="190" t="s">
        <v>267</v>
      </c>
      <c r="F1" s="189" t="s">
        <v>268</v>
      </c>
      <c r="G1" s="189" t="s">
        <v>269</v>
      </c>
      <c r="H1" s="191" t="s">
        <v>121</v>
      </c>
      <c r="I1" s="191" t="s">
        <v>270</v>
      </c>
      <c r="J1" s="192" t="s">
        <v>271</v>
      </c>
      <c r="K1" s="193" t="s">
        <v>272</v>
      </c>
      <c r="L1" s="193" t="s">
        <v>273</v>
      </c>
      <c r="M1" s="27"/>
      <c r="N1" s="28" t="s">
        <v>128</v>
      </c>
      <c r="O1" s="28" t="s">
        <v>129</v>
      </c>
      <c r="P1" s="28" t="s">
        <v>130</v>
      </c>
      <c r="Q1" s="194" t="s">
        <v>131</v>
      </c>
      <c r="R1" s="195" t="s">
        <v>132</v>
      </c>
      <c r="S1" s="196" t="s">
        <v>274</v>
      </c>
      <c r="T1" s="197" t="s">
        <v>134</v>
      </c>
      <c r="U1" s="197" t="s">
        <v>11</v>
      </c>
      <c r="V1" s="197" t="s">
        <v>12</v>
      </c>
      <c r="W1" s="32" t="s">
        <v>13</v>
      </c>
    </row>
    <row r="2">
      <c r="A2" s="198" t="s">
        <v>275</v>
      </c>
      <c r="B2" s="199" t="s">
        <v>276</v>
      </c>
      <c r="C2" s="200" t="s">
        <v>277</v>
      </c>
      <c r="D2" s="200" t="s">
        <v>278</v>
      </c>
      <c r="E2" s="200" t="s">
        <v>279</v>
      </c>
      <c r="F2" s="199" t="s">
        <v>280</v>
      </c>
      <c r="G2" s="201" t="s">
        <v>281</v>
      </c>
      <c r="H2" s="202"/>
      <c r="I2" s="202"/>
      <c r="J2" s="203"/>
      <c r="K2" s="204"/>
      <c r="L2" s="202"/>
      <c r="N2" s="87">
        <v>1.0</v>
      </c>
      <c r="O2" s="16">
        <v>5.0</v>
      </c>
      <c r="P2" s="42">
        <f t="shared" ref="P2:P31" si="1">IF(O2=1,$J$4,IF(O2=2,$J$7,IF(O2=3,$J$7,IF(O2=4,$J$10,IF(O2=5,$J$13,IF(O2=6,$J$16))))))</f>
        <v>80</v>
      </c>
      <c r="Q2" s="60"/>
      <c r="R2" s="205">
        <f t="shared" ref="R2:R31" si="2">P2+Q2</f>
        <v>80</v>
      </c>
      <c r="S2" s="61"/>
      <c r="T2" s="133" t="s">
        <v>20</v>
      </c>
      <c r="U2" s="133" t="s">
        <v>21</v>
      </c>
      <c r="V2" s="134" t="s">
        <v>6</v>
      </c>
      <c r="W2" s="135" t="s">
        <v>22</v>
      </c>
    </row>
    <row r="3" ht="29.25" customHeight="1">
      <c r="A3" s="206" t="s">
        <v>282</v>
      </c>
      <c r="B3" s="207">
        <v>1.0</v>
      </c>
      <c r="C3" s="207">
        <v>1.0</v>
      </c>
      <c r="D3" s="207">
        <v>1.0</v>
      </c>
      <c r="E3" s="208">
        <v>1.0</v>
      </c>
      <c r="F3" s="208">
        <v>0.0</v>
      </c>
      <c r="G3" s="207">
        <v>1.0</v>
      </c>
      <c r="K3" s="204"/>
      <c r="L3" s="202"/>
      <c r="N3" s="87">
        <v>2.0</v>
      </c>
      <c r="O3" s="16">
        <v>5.0</v>
      </c>
      <c r="P3" s="58">
        <f t="shared" si="1"/>
        <v>80</v>
      </c>
      <c r="Q3" s="63"/>
      <c r="R3" s="205">
        <f t="shared" si="2"/>
        <v>80</v>
      </c>
      <c r="S3" s="61"/>
      <c r="T3" s="133" t="s">
        <v>24</v>
      </c>
      <c r="U3" s="133" t="s">
        <v>25</v>
      </c>
      <c r="V3" s="134" t="s">
        <v>3</v>
      </c>
      <c r="W3" s="135" t="s">
        <v>26</v>
      </c>
    </row>
    <row r="4" ht="29.25" customHeight="1">
      <c r="A4" s="198" t="s">
        <v>283</v>
      </c>
      <c r="B4" s="209">
        <f>B3/2</f>
        <v>0.5</v>
      </c>
      <c r="C4" s="209">
        <f t="shared" ref="C4:D4" si="3">C3/1</f>
        <v>1</v>
      </c>
      <c r="D4" s="209">
        <f t="shared" si="3"/>
        <v>1</v>
      </c>
      <c r="E4" s="209">
        <f>E3/2</f>
        <v>0.5</v>
      </c>
      <c r="F4" s="209">
        <f t="shared" ref="F4:G4" si="4">F3/1</f>
        <v>0</v>
      </c>
      <c r="G4" s="209">
        <f t="shared" si="4"/>
        <v>1</v>
      </c>
      <c r="H4" s="210">
        <f>SUM(B3:G3)/6*100</f>
        <v>83.33333333</v>
      </c>
      <c r="I4" s="211">
        <v>5.0</v>
      </c>
      <c r="J4" s="212">
        <f>H4+I4</f>
        <v>88.33333333</v>
      </c>
      <c r="K4" s="204"/>
      <c r="L4" s="202"/>
      <c r="N4" s="87">
        <v>3.0</v>
      </c>
      <c r="O4" s="16">
        <v>3.0</v>
      </c>
      <c r="P4" s="42">
        <f t="shared" si="1"/>
        <v>80</v>
      </c>
      <c r="Q4" s="60"/>
      <c r="R4" s="205">
        <f t="shared" si="2"/>
        <v>80</v>
      </c>
      <c r="S4" s="61"/>
      <c r="T4" s="133" t="s">
        <v>28</v>
      </c>
      <c r="U4" s="133" t="s">
        <v>29</v>
      </c>
      <c r="V4" s="134" t="s">
        <v>3</v>
      </c>
      <c r="W4" s="133" t="s">
        <v>30</v>
      </c>
    </row>
    <row r="5" ht="29.25" customHeight="1">
      <c r="A5" s="198" t="s">
        <v>284</v>
      </c>
      <c r="B5" s="207">
        <v>93.34</v>
      </c>
      <c r="C5" s="200" t="s">
        <v>277</v>
      </c>
      <c r="D5" s="207">
        <v>16.21</v>
      </c>
      <c r="E5" s="200" t="s">
        <v>285</v>
      </c>
      <c r="F5" s="208" t="s">
        <v>286</v>
      </c>
      <c r="G5" s="201" t="s">
        <v>281</v>
      </c>
      <c r="H5" s="202"/>
      <c r="I5" s="202"/>
      <c r="J5" s="203"/>
      <c r="K5" s="204"/>
      <c r="L5" s="202"/>
      <c r="N5" s="87">
        <v>4.0</v>
      </c>
      <c r="O5" s="16">
        <v>6.0</v>
      </c>
      <c r="P5" s="58">
        <f t="shared" si="1"/>
        <v>79.5</v>
      </c>
      <c r="Q5" s="63"/>
      <c r="R5" s="205">
        <f t="shared" si="2"/>
        <v>79.5</v>
      </c>
      <c r="S5" s="61"/>
      <c r="T5" s="133" t="s">
        <v>32</v>
      </c>
      <c r="U5" s="133" t="s">
        <v>33</v>
      </c>
      <c r="V5" s="134" t="s">
        <v>6</v>
      </c>
      <c r="W5" s="135" t="s">
        <v>30</v>
      </c>
    </row>
    <row r="6" ht="29.25" customHeight="1">
      <c r="A6" s="206" t="s">
        <v>282</v>
      </c>
      <c r="B6" s="207">
        <v>0.5</v>
      </c>
      <c r="C6" s="207">
        <v>1.0</v>
      </c>
      <c r="D6" s="208">
        <v>0.0</v>
      </c>
      <c r="E6" s="208">
        <v>1.0</v>
      </c>
      <c r="F6" s="208">
        <v>1.0</v>
      </c>
      <c r="G6" s="207">
        <v>1.0</v>
      </c>
      <c r="K6" s="204"/>
      <c r="L6" s="204"/>
      <c r="N6" s="87">
        <v>5.0</v>
      </c>
      <c r="O6" s="16">
        <v>1.0</v>
      </c>
      <c r="P6" s="42">
        <f t="shared" si="1"/>
        <v>88.33333333</v>
      </c>
      <c r="Q6" s="60"/>
      <c r="R6" s="205">
        <f t="shared" si="2"/>
        <v>88.33333333</v>
      </c>
      <c r="S6" s="61"/>
      <c r="T6" s="133" t="s">
        <v>35</v>
      </c>
      <c r="U6" s="133" t="s">
        <v>36</v>
      </c>
      <c r="V6" s="134" t="s">
        <v>6</v>
      </c>
      <c r="W6" s="135" t="s">
        <v>30</v>
      </c>
    </row>
    <row r="7" ht="29.25" customHeight="1">
      <c r="A7" s="198" t="s">
        <v>287</v>
      </c>
      <c r="B7" s="209">
        <f>B6/2</f>
        <v>0.25</v>
      </c>
      <c r="C7" s="209">
        <f t="shared" ref="C7:D7" si="5">C6/1</f>
        <v>1</v>
      </c>
      <c r="D7" s="209">
        <f t="shared" si="5"/>
        <v>0</v>
      </c>
      <c r="E7" s="209">
        <f>E6/2</f>
        <v>0.5</v>
      </c>
      <c r="F7" s="209">
        <f t="shared" ref="F7:G7" si="6">F6/1</f>
        <v>1</v>
      </c>
      <c r="G7" s="209">
        <f t="shared" si="6"/>
        <v>1</v>
      </c>
      <c r="H7" s="210">
        <f>SUM(B6:G6)/6*100</f>
        <v>75</v>
      </c>
      <c r="I7" s="211">
        <v>5.0</v>
      </c>
      <c r="J7" s="212">
        <f>H7+I7</f>
        <v>80</v>
      </c>
      <c r="K7" s="204"/>
      <c r="L7" s="204"/>
      <c r="N7" s="87">
        <v>6.0</v>
      </c>
      <c r="O7" s="16">
        <v>6.0</v>
      </c>
      <c r="P7" s="58">
        <f t="shared" si="1"/>
        <v>79.5</v>
      </c>
      <c r="Q7" s="63"/>
      <c r="R7" s="205">
        <f t="shared" si="2"/>
        <v>79.5</v>
      </c>
      <c r="S7" s="61"/>
      <c r="T7" s="133" t="s">
        <v>38</v>
      </c>
      <c r="U7" s="133" t="s">
        <v>39</v>
      </c>
      <c r="V7" s="134" t="s">
        <v>2</v>
      </c>
      <c r="W7" s="133" t="s">
        <v>40</v>
      </c>
    </row>
    <row r="8" ht="29.25" customHeight="1">
      <c r="A8" s="198" t="s">
        <v>288</v>
      </c>
      <c r="B8" s="199" t="s">
        <v>289</v>
      </c>
      <c r="C8" s="200" t="s">
        <v>290</v>
      </c>
      <c r="D8" s="208" t="s">
        <v>291</v>
      </c>
      <c r="E8" s="208" t="s">
        <v>292</v>
      </c>
      <c r="F8" s="208" t="s">
        <v>293</v>
      </c>
      <c r="G8" s="201" t="s">
        <v>294</v>
      </c>
      <c r="H8" s="202"/>
      <c r="I8" s="202"/>
      <c r="J8" s="203"/>
      <c r="K8" s="204"/>
      <c r="L8" s="204"/>
      <c r="N8" s="87">
        <v>7.0</v>
      </c>
      <c r="O8" s="16">
        <v>5.0</v>
      </c>
      <c r="P8" s="42">
        <f t="shared" si="1"/>
        <v>80</v>
      </c>
      <c r="Q8" s="60"/>
      <c r="R8" s="205">
        <f t="shared" si="2"/>
        <v>80</v>
      </c>
      <c r="S8" s="61"/>
      <c r="T8" s="133" t="s">
        <v>42</v>
      </c>
      <c r="U8" s="133" t="s">
        <v>43</v>
      </c>
      <c r="V8" s="134" t="s">
        <v>6</v>
      </c>
      <c r="W8" s="133" t="s">
        <v>40</v>
      </c>
    </row>
    <row r="9" ht="29.25" customHeight="1">
      <c r="A9" s="206" t="s">
        <v>282</v>
      </c>
      <c r="B9" s="207">
        <v>0.5</v>
      </c>
      <c r="C9" s="207">
        <v>0.5</v>
      </c>
      <c r="D9" s="208">
        <v>1.0</v>
      </c>
      <c r="E9" s="208">
        <v>1.0</v>
      </c>
      <c r="F9" s="208">
        <v>0.0</v>
      </c>
      <c r="G9" s="208">
        <v>0.0</v>
      </c>
      <c r="K9" s="204"/>
      <c r="L9" s="204"/>
      <c r="N9" s="87">
        <v>8.0</v>
      </c>
      <c r="O9" s="16">
        <v>5.0</v>
      </c>
      <c r="P9" s="58">
        <f t="shared" si="1"/>
        <v>80</v>
      </c>
      <c r="Q9" s="63"/>
      <c r="R9" s="205">
        <f t="shared" si="2"/>
        <v>80</v>
      </c>
      <c r="S9" s="61"/>
      <c r="T9" s="133" t="s">
        <v>45</v>
      </c>
      <c r="U9" s="133" t="s">
        <v>46</v>
      </c>
      <c r="V9" s="134" t="s">
        <v>3</v>
      </c>
      <c r="W9" s="133" t="s">
        <v>47</v>
      </c>
    </row>
    <row r="10" ht="29.25" customHeight="1">
      <c r="A10" s="198" t="s">
        <v>295</v>
      </c>
      <c r="B10" s="209">
        <f>B9/2</f>
        <v>0.25</v>
      </c>
      <c r="C10" s="209">
        <f t="shared" ref="C10:D10" si="7">C9/1</f>
        <v>0.5</v>
      </c>
      <c r="D10" s="209">
        <f t="shared" si="7"/>
        <v>1</v>
      </c>
      <c r="E10" s="209">
        <f>E9/2</f>
        <v>0.5</v>
      </c>
      <c r="F10" s="209">
        <f t="shared" ref="F10:G10" si="8">F9/1</f>
        <v>0</v>
      </c>
      <c r="G10" s="209">
        <f t="shared" si="8"/>
        <v>0</v>
      </c>
      <c r="H10" s="210">
        <f>SUM(B9:G9)/6*100</f>
        <v>50</v>
      </c>
      <c r="I10" s="211">
        <v>30.0</v>
      </c>
      <c r="J10" s="212">
        <f>H10+I10</f>
        <v>80</v>
      </c>
      <c r="K10" s="204"/>
      <c r="L10" s="204"/>
      <c r="N10" s="87">
        <v>9.0</v>
      </c>
      <c r="O10" s="16">
        <v>2.0</v>
      </c>
      <c r="P10" s="42">
        <f t="shared" si="1"/>
        <v>80</v>
      </c>
      <c r="Q10" s="60"/>
      <c r="R10" s="205">
        <f t="shared" si="2"/>
        <v>80</v>
      </c>
      <c r="S10" s="61"/>
      <c r="T10" s="133" t="s">
        <v>49</v>
      </c>
      <c r="U10" s="133" t="s">
        <v>50</v>
      </c>
      <c r="V10" s="134" t="s">
        <v>4</v>
      </c>
      <c r="W10" s="135" t="s">
        <v>30</v>
      </c>
    </row>
    <row r="11" ht="29.25" customHeight="1">
      <c r="A11" s="198" t="s">
        <v>296</v>
      </c>
      <c r="B11" s="207">
        <v>93.35</v>
      </c>
      <c r="C11" s="207" t="s">
        <v>297</v>
      </c>
      <c r="D11" s="208" t="s">
        <v>291</v>
      </c>
      <c r="E11" s="208" t="s">
        <v>298</v>
      </c>
      <c r="F11" s="208" t="s">
        <v>299</v>
      </c>
      <c r="G11" s="213" t="s">
        <v>281</v>
      </c>
      <c r="H11" s="202"/>
      <c r="I11" s="202"/>
      <c r="J11" s="203"/>
      <c r="K11" s="204"/>
      <c r="L11" s="204"/>
      <c r="N11" s="87">
        <v>10.0</v>
      </c>
      <c r="O11" s="16">
        <v>1.0</v>
      </c>
      <c r="P11" s="58">
        <f t="shared" si="1"/>
        <v>88.33333333</v>
      </c>
      <c r="Q11" s="63"/>
      <c r="R11" s="205">
        <f t="shared" si="2"/>
        <v>88.33333333</v>
      </c>
      <c r="S11" s="61"/>
      <c r="T11" s="133" t="s">
        <v>52</v>
      </c>
      <c r="U11" s="133" t="s">
        <v>53</v>
      </c>
      <c r="V11" s="134" t="s">
        <v>6</v>
      </c>
      <c r="W11" s="133" t="s">
        <v>30</v>
      </c>
    </row>
    <row r="12" ht="29.25" customHeight="1">
      <c r="A12" s="206" t="s">
        <v>282</v>
      </c>
      <c r="B12" s="207">
        <v>1.0</v>
      </c>
      <c r="C12" s="208">
        <v>0.0</v>
      </c>
      <c r="D12" s="208">
        <v>1.0</v>
      </c>
      <c r="E12" s="208">
        <v>1.0</v>
      </c>
      <c r="F12" s="208">
        <v>0.0</v>
      </c>
      <c r="G12" s="207">
        <v>1.0</v>
      </c>
      <c r="K12" s="204"/>
      <c r="L12" s="202"/>
      <c r="N12" s="87">
        <v>11.0</v>
      </c>
      <c r="O12" s="16">
        <v>6.0</v>
      </c>
      <c r="P12" s="42">
        <f t="shared" si="1"/>
        <v>79.5</v>
      </c>
      <c r="Q12" s="60"/>
      <c r="R12" s="205">
        <f t="shared" si="2"/>
        <v>79.5</v>
      </c>
      <c r="S12" s="61"/>
      <c r="T12" s="133" t="s">
        <v>55</v>
      </c>
      <c r="U12" s="133" t="s">
        <v>56</v>
      </c>
      <c r="V12" s="134" t="s">
        <v>5</v>
      </c>
      <c r="W12" s="133" t="s">
        <v>22</v>
      </c>
    </row>
    <row r="13" ht="29.25" customHeight="1">
      <c r="A13" s="198" t="s">
        <v>300</v>
      </c>
      <c r="B13" s="209">
        <f>B12/2</f>
        <v>0.5</v>
      </c>
      <c r="C13" s="209">
        <f t="shared" ref="C13:D13" si="9">C12/1</f>
        <v>0</v>
      </c>
      <c r="D13" s="209">
        <f t="shared" si="9"/>
        <v>1</v>
      </c>
      <c r="E13" s="209">
        <f>E12/2</f>
        <v>0.5</v>
      </c>
      <c r="F13" s="209">
        <f t="shared" ref="F13:G13" si="10">F12/1</f>
        <v>0</v>
      </c>
      <c r="G13" s="209">
        <f t="shared" si="10"/>
        <v>1</v>
      </c>
      <c r="H13" s="210">
        <f>SUM(B13:G13)/6*100</f>
        <v>50</v>
      </c>
      <c r="I13" s="211">
        <v>30.0</v>
      </c>
      <c r="J13" s="212">
        <f>H13+I13</f>
        <v>80</v>
      </c>
      <c r="K13" s="204"/>
      <c r="L13" s="202"/>
      <c r="N13" s="87">
        <v>12.0</v>
      </c>
      <c r="O13" s="16">
        <v>3.0</v>
      </c>
      <c r="P13" s="58">
        <f t="shared" si="1"/>
        <v>80</v>
      </c>
      <c r="Q13" s="63"/>
      <c r="R13" s="205">
        <f t="shared" si="2"/>
        <v>80</v>
      </c>
      <c r="S13" s="61"/>
      <c r="T13" s="133" t="s">
        <v>58</v>
      </c>
      <c r="U13" s="133" t="s">
        <v>59</v>
      </c>
      <c r="V13" s="134" t="s">
        <v>2</v>
      </c>
      <c r="W13" s="135" t="s">
        <v>40</v>
      </c>
    </row>
    <row r="14" ht="29.25" customHeight="1">
      <c r="A14" s="198" t="s">
        <v>301</v>
      </c>
      <c r="B14" s="207">
        <v>93.34</v>
      </c>
      <c r="C14" s="200" t="s">
        <v>277</v>
      </c>
      <c r="D14" s="208" t="s">
        <v>291</v>
      </c>
      <c r="E14" s="208" t="s">
        <v>302</v>
      </c>
      <c r="F14" s="208" t="s">
        <v>303</v>
      </c>
      <c r="G14" s="207" t="s">
        <v>303</v>
      </c>
      <c r="H14" s="202"/>
      <c r="I14" s="202"/>
      <c r="J14" s="203"/>
      <c r="K14" s="204"/>
      <c r="L14" s="202"/>
      <c r="N14" s="87">
        <v>13.0</v>
      </c>
      <c r="O14" s="16">
        <v>2.0</v>
      </c>
      <c r="P14" s="42">
        <f t="shared" si="1"/>
        <v>80</v>
      </c>
      <c r="Q14" s="60"/>
      <c r="R14" s="205">
        <f t="shared" si="2"/>
        <v>80</v>
      </c>
      <c r="S14" s="61"/>
      <c r="T14" s="133" t="s">
        <v>61</v>
      </c>
      <c r="U14" s="133" t="s">
        <v>62</v>
      </c>
      <c r="V14" s="134" t="s">
        <v>6</v>
      </c>
      <c r="W14" s="133" t="s">
        <v>22</v>
      </c>
    </row>
    <row r="15" ht="29.25" customHeight="1">
      <c r="A15" s="206" t="s">
        <v>282</v>
      </c>
      <c r="B15" s="214">
        <v>0.5</v>
      </c>
      <c r="C15" s="207">
        <v>1.0</v>
      </c>
      <c r="D15" s="207">
        <v>1.0</v>
      </c>
      <c r="E15" s="208">
        <v>0.0</v>
      </c>
      <c r="F15" s="207">
        <v>0.0</v>
      </c>
      <c r="G15" s="207">
        <v>0.0</v>
      </c>
      <c r="K15" s="204"/>
      <c r="L15" s="204"/>
      <c r="N15" s="87">
        <v>14.0</v>
      </c>
      <c r="O15" s="16">
        <v>3.0</v>
      </c>
      <c r="P15" s="58">
        <f t="shared" si="1"/>
        <v>80</v>
      </c>
      <c r="Q15" s="63"/>
      <c r="R15" s="205">
        <f t="shared" si="2"/>
        <v>80</v>
      </c>
      <c r="S15" s="61"/>
      <c r="T15" s="133" t="s">
        <v>64</v>
      </c>
      <c r="U15" s="133" t="s">
        <v>65</v>
      </c>
      <c r="V15" s="134" t="s">
        <v>3</v>
      </c>
      <c r="W15" s="135" t="s">
        <v>30</v>
      </c>
    </row>
    <row r="16" ht="29.25" customHeight="1">
      <c r="A16" s="198" t="s">
        <v>304</v>
      </c>
      <c r="B16" s="209">
        <f>B15/2</f>
        <v>0.25</v>
      </c>
      <c r="C16" s="209">
        <f t="shared" ref="C16:D16" si="11">C15/1</f>
        <v>1</v>
      </c>
      <c r="D16" s="209">
        <f t="shared" si="11"/>
        <v>1</v>
      </c>
      <c r="E16" s="209">
        <f>E15/2</f>
        <v>0</v>
      </c>
      <c r="F16" s="209">
        <f t="shared" ref="F16:G16" si="12">F15/1</f>
        <v>0</v>
      </c>
      <c r="G16" s="209">
        <f t="shared" si="12"/>
        <v>0</v>
      </c>
      <c r="H16" s="210">
        <f>SUM(B16:G16)/6*100</f>
        <v>37.5</v>
      </c>
      <c r="I16" s="211">
        <v>42.0</v>
      </c>
      <c r="J16" s="212">
        <f>H16+I16</f>
        <v>79.5</v>
      </c>
      <c r="K16" s="204"/>
      <c r="L16" s="204"/>
      <c r="N16" s="87">
        <v>15.0</v>
      </c>
      <c r="O16" s="16">
        <v>2.0</v>
      </c>
      <c r="P16" s="42">
        <f t="shared" si="1"/>
        <v>80</v>
      </c>
      <c r="Q16" s="60"/>
      <c r="R16" s="205">
        <f t="shared" si="2"/>
        <v>80</v>
      </c>
      <c r="S16" s="61"/>
      <c r="T16" s="133" t="s">
        <v>67</v>
      </c>
      <c r="U16" s="133" t="s">
        <v>68</v>
      </c>
      <c r="V16" s="134" t="s">
        <v>6</v>
      </c>
      <c r="W16" s="133" t="s">
        <v>47</v>
      </c>
    </row>
    <row r="17" ht="29.25" customHeight="1">
      <c r="A17" s="198" t="s">
        <v>305</v>
      </c>
      <c r="B17" s="207">
        <v>93.34</v>
      </c>
      <c r="C17" s="207">
        <v>0.0</v>
      </c>
      <c r="D17" s="207" t="s">
        <v>306</v>
      </c>
      <c r="E17" s="208">
        <v>0.0</v>
      </c>
      <c r="F17" s="207" t="s">
        <v>307</v>
      </c>
      <c r="G17" s="213" t="s">
        <v>281</v>
      </c>
      <c r="H17" s="202"/>
      <c r="I17" s="202"/>
      <c r="J17" s="203"/>
      <c r="K17" s="204"/>
      <c r="L17" s="204"/>
      <c r="N17" s="87">
        <v>16.0</v>
      </c>
      <c r="O17" s="16">
        <v>1.0</v>
      </c>
      <c r="P17" s="58">
        <f t="shared" si="1"/>
        <v>88.33333333</v>
      </c>
      <c r="Q17" s="63"/>
      <c r="R17" s="205">
        <f t="shared" si="2"/>
        <v>88.33333333</v>
      </c>
      <c r="S17" s="61"/>
      <c r="T17" s="133" t="s">
        <v>70</v>
      </c>
      <c r="U17" s="133" t="s">
        <v>71</v>
      </c>
      <c r="V17" s="134" t="s">
        <v>6</v>
      </c>
      <c r="W17" s="133" t="s">
        <v>72</v>
      </c>
    </row>
    <row r="18" ht="29.25" customHeight="1">
      <c r="A18" s="206" t="s">
        <v>282</v>
      </c>
      <c r="B18" s="214">
        <v>0.5</v>
      </c>
      <c r="C18" s="211">
        <v>0.0</v>
      </c>
      <c r="D18" s="211">
        <v>1.0</v>
      </c>
      <c r="E18" s="215"/>
      <c r="F18" s="211">
        <v>1.0</v>
      </c>
      <c r="G18" s="211">
        <v>1.0</v>
      </c>
      <c r="K18" s="204"/>
      <c r="L18" s="202"/>
      <c r="N18" s="87">
        <v>17.0</v>
      </c>
      <c r="O18" s="16">
        <v>5.0</v>
      </c>
      <c r="P18" s="88">
        <f t="shared" si="1"/>
        <v>80</v>
      </c>
      <c r="Q18" s="89"/>
      <c r="R18" s="216">
        <f t="shared" si="2"/>
        <v>80</v>
      </c>
      <c r="S18" s="89"/>
      <c r="T18" s="133" t="s">
        <v>74</v>
      </c>
      <c r="U18" s="133" t="s">
        <v>75</v>
      </c>
      <c r="V18" s="134" t="s">
        <v>6</v>
      </c>
      <c r="W18" s="133" t="s">
        <v>47</v>
      </c>
    </row>
    <row r="19" ht="29.25" customHeight="1">
      <c r="A19" s="198" t="s">
        <v>308</v>
      </c>
      <c r="B19" s="209">
        <f>B18/2</f>
        <v>0.25</v>
      </c>
      <c r="C19" s="209">
        <f t="shared" ref="C19:D19" si="13">C18/1</f>
        <v>0</v>
      </c>
      <c r="D19" s="209">
        <f t="shared" si="13"/>
        <v>1</v>
      </c>
      <c r="E19" s="209">
        <f>E18/2</f>
        <v>0</v>
      </c>
      <c r="F19" s="209">
        <f t="shared" ref="F19:G19" si="14">F18/1</f>
        <v>1</v>
      </c>
      <c r="G19" s="209">
        <f t="shared" si="14"/>
        <v>1</v>
      </c>
      <c r="H19" s="210">
        <f>SUM(B19:G19)/6*100</f>
        <v>54.16666667</v>
      </c>
      <c r="I19" s="211">
        <v>26.0</v>
      </c>
      <c r="J19" s="212">
        <f>H19+I19</f>
        <v>80.16666667</v>
      </c>
      <c r="K19" s="204"/>
      <c r="L19" s="202"/>
      <c r="N19" s="87">
        <v>18.0</v>
      </c>
      <c r="O19" s="16">
        <v>1.0</v>
      </c>
      <c r="P19" s="88">
        <f t="shared" si="1"/>
        <v>88.33333333</v>
      </c>
      <c r="Q19" s="89"/>
      <c r="R19" s="216">
        <f t="shared" si="2"/>
        <v>88.33333333</v>
      </c>
      <c r="S19" s="89"/>
      <c r="T19" s="133" t="s">
        <v>77</v>
      </c>
      <c r="U19" s="133" t="s">
        <v>78</v>
      </c>
      <c r="V19" s="134" t="s">
        <v>3</v>
      </c>
      <c r="W19" s="135" t="s">
        <v>40</v>
      </c>
    </row>
    <row r="20" ht="29.25" customHeight="1">
      <c r="A20" s="217" t="s">
        <v>309</v>
      </c>
      <c r="B20" s="215">
        <f t="shared" ref="B20:G20" si="15">(B4+B7+B10+B13+B16+B19)/6</f>
        <v>0.3333333333</v>
      </c>
      <c r="C20" s="215">
        <f t="shared" si="15"/>
        <v>0.5833333333</v>
      </c>
      <c r="D20" s="215">
        <f t="shared" si="15"/>
        <v>0.8333333333</v>
      </c>
      <c r="E20" s="215">
        <f t="shared" si="15"/>
        <v>0.3333333333</v>
      </c>
      <c r="F20" s="215">
        <f t="shared" si="15"/>
        <v>0.3333333333</v>
      </c>
      <c r="G20" s="215">
        <f t="shared" si="15"/>
        <v>0.6666666667</v>
      </c>
      <c r="H20" s="215">
        <f>AVERAGE(H4:H19)</f>
        <v>58.33333333</v>
      </c>
      <c r="I20" s="202"/>
      <c r="J20" s="218"/>
      <c r="K20" s="204"/>
      <c r="L20" s="202"/>
      <c r="N20" s="87">
        <v>19.0</v>
      </c>
      <c r="O20" s="16">
        <v>1.0</v>
      </c>
      <c r="P20" s="88">
        <f t="shared" si="1"/>
        <v>88.33333333</v>
      </c>
      <c r="Q20" s="89"/>
      <c r="R20" s="216">
        <f t="shared" si="2"/>
        <v>88.33333333</v>
      </c>
      <c r="S20" s="89"/>
      <c r="T20" s="133" t="s">
        <v>80</v>
      </c>
      <c r="U20" s="133" t="s">
        <v>81</v>
      </c>
      <c r="V20" s="134" t="s">
        <v>6</v>
      </c>
      <c r="W20" s="135" t="s">
        <v>40</v>
      </c>
    </row>
    <row r="21" ht="29.25" customHeight="1">
      <c r="A21" s="217" t="s">
        <v>310</v>
      </c>
      <c r="B21" s="219">
        <f>100/9</f>
        <v>11.11111111</v>
      </c>
      <c r="C21" s="219">
        <f>100/13</f>
        <v>7.692307692</v>
      </c>
      <c r="D21" s="219">
        <f>100/6</f>
        <v>16.66666667</v>
      </c>
      <c r="E21" s="219">
        <f t="shared" ref="E21:F21" si="16">100/8</f>
        <v>12.5</v>
      </c>
      <c r="F21" s="219">
        <f t="shared" si="16"/>
        <v>12.5</v>
      </c>
      <c r="G21" s="219">
        <f>100/4</f>
        <v>25</v>
      </c>
      <c r="H21" s="215"/>
      <c r="I21" s="202"/>
      <c r="J21" s="218"/>
      <c r="K21" s="204"/>
      <c r="L21" s="202"/>
      <c r="N21" s="87">
        <v>20.0</v>
      </c>
      <c r="O21" s="16">
        <v>4.0</v>
      </c>
      <c r="P21" s="88">
        <f t="shared" si="1"/>
        <v>80</v>
      </c>
      <c r="Q21" s="89"/>
      <c r="R21" s="216">
        <f t="shared" si="2"/>
        <v>80</v>
      </c>
      <c r="S21" s="89"/>
      <c r="T21" s="133" t="s">
        <v>83</v>
      </c>
      <c r="U21" s="133" t="s">
        <v>84</v>
      </c>
      <c r="V21" s="134" t="s">
        <v>6</v>
      </c>
      <c r="W21" s="133" t="s">
        <v>30</v>
      </c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20"/>
      <c r="L22" s="27"/>
      <c r="M22" s="27"/>
      <c r="N22" s="40">
        <v>21.0</v>
      </c>
      <c r="O22" s="16">
        <v>3.0</v>
      </c>
      <c r="P22" s="88">
        <f t="shared" si="1"/>
        <v>80</v>
      </c>
      <c r="Q22" s="221"/>
      <c r="R22" s="216">
        <f t="shared" si="2"/>
        <v>80</v>
      </c>
      <c r="S22" s="221"/>
      <c r="T22" s="133" t="s">
        <v>86</v>
      </c>
      <c r="U22" s="133" t="s">
        <v>87</v>
      </c>
      <c r="V22" s="134" t="s">
        <v>6</v>
      </c>
      <c r="W22" s="135" t="s">
        <v>72</v>
      </c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20"/>
      <c r="L23" s="27"/>
      <c r="M23" s="27"/>
      <c r="N23" s="40">
        <v>22.0</v>
      </c>
      <c r="O23" s="16">
        <v>2.0</v>
      </c>
      <c r="P23" s="88">
        <f t="shared" si="1"/>
        <v>80</v>
      </c>
      <c r="Q23" s="221"/>
      <c r="R23" s="216">
        <f t="shared" si="2"/>
        <v>80</v>
      </c>
      <c r="S23" s="221"/>
      <c r="T23" s="133" t="s">
        <v>89</v>
      </c>
      <c r="U23" s="133" t="s">
        <v>90</v>
      </c>
      <c r="V23" s="134" t="s">
        <v>6</v>
      </c>
      <c r="W23" s="133" t="s">
        <v>47</v>
      </c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20"/>
      <c r="L24" s="27"/>
      <c r="M24" s="27"/>
      <c r="N24" s="40">
        <v>23.0</v>
      </c>
      <c r="O24" s="16">
        <v>4.0</v>
      </c>
      <c r="P24" s="88">
        <f t="shared" si="1"/>
        <v>80</v>
      </c>
      <c r="Q24" s="221"/>
      <c r="R24" s="216">
        <f t="shared" si="2"/>
        <v>80</v>
      </c>
      <c r="S24" s="221"/>
      <c r="T24" s="133" t="s">
        <v>92</v>
      </c>
      <c r="U24" s="133" t="s">
        <v>93</v>
      </c>
      <c r="V24" s="134" t="s">
        <v>6</v>
      </c>
      <c r="W24" s="133" t="s">
        <v>94</v>
      </c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20"/>
      <c r="L25" s="27"/>
      <c r="M25" s="27"/>
      <c r="N25" s="40">
        <v>24.0</v>
      </c>
      <c r="O25" s="16">
        <v>4.0</v>
      </c>
      <c r="P25" s="88">
        <f t="shared" si="1"/>
        <v>80</v>
      </c>
      <c r="Q25" s="221"/>
      <c r="R25" s="216">
        <f t="shared" si="2"/>
        <v>80</v>
      </c>
      <c r="S25" s="221"/>
      <c r="T25" s="133" t="s">
        <v>96</v>
      </c>
      <c r="U25" s="133" t="s">
        <v>97</v>
      </c>
      <c r="V25" s="134" t="s">
        <v>6</v>
      </c>
      <c r="W25" s="133" t="s">
        <v>98</v>
      </c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20"/>
      <c r="L26" s="27"/>
      <c r="M26" s="27"/>
      <c r="N26" s="40">
        <v>25.0</v>
      </c>
      <c r="O26" s="16">
        <v>4.0</v>
      </c>
      <c r="P26" s="58">
        <f t="shared" si="1"/>
        <v>80</v>
      </c>
      <c r="Q26" s="222"/>
      <c r="R26" s="205">
        <f t="shared" si="2"/>
        <v>80</v>
      </c>
      <c r="S26" s="222"/>
      <c r="T26" s="133" t="s">
        <v>100</v>
      </c>
      <c r="U26" s="133" t="s">
        <v>101</v>
      </c>
      <c r="V26" s="134" t="s">
        <v>2</v>
      </c>
      <c r="W26" s="135" t="s">
        <v>40</v>
      </c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20"/>
      <c r="L27" s="27"/>
      <c r="M27" s="27"/>
      <c r="N27" s="40">
        <v>26.0</v>
      </c>
      <c r="O27" s="16">
        <v>4.0</v>
      </c>
      <c r="P27" s="42">
        <f t="shared" si="1"/>
        <v>80</v>
      </c>
      <c r="Q27" s="222"/>
      <c r="R27" s="205">
        <f t="shared" si="2"/>
        <v>80</v>
      </c>
      <c r="S27" s="222"/>
      <c r="T27" s="133" t="s">
        <v>103</v>
      </c>
      <c r="U27" s="133" t="s">
        <v>104</v>
      </c>
      <c r="V27" s="134" t="s">
        <v>5</v>
      </c>
      <c r="W27" s="135" t="s">
        <v>30</v>
      </c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20"/>
      <c r="L28" s="27"/>
      <c r="M28" s="27"/>
      <c r="N28" s="40">
        <v>27.0</v>
      </c>
      <c r="O28" s="16">
        <v>6.0</v>
      </c>
      <c r="P28" s="58">
        <f t="shared" si="1"/>
        <v>79.5</v>
      </c>
      <c r="Q28" s="222"/>
      <c r="R28" s="205">
        <f t="shared" si="2"/>
        <v>79.5</v>
      </c>
      <c r="S28" s="222"/>
      <c r="T28" s="133" t="s">
        <v>106</v>
      </c>
      <c r="U28" s="133" t="s">
        <v>107</v>
      </c>
      <c r="V28" s="134" t="s">
        <v>5</v>
      </c>
      <c r="W28" s="133" t="s">
        <v>30</v>
      </c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20"/>
      <c r="L29" s="27"/>
      <c r="M29" s="27"/>
      <c r="N29" s="40">
        <v>28.0</v>
      </c>
      <c r="O29" s="16">
        <v>6.0</v>
      </c>
      <c r="P29" s="42">
        <f t="shared" si="1"/>
        <v>79.5</v>
      </c>
      <c r="Q29" s="222"/>
      <c r="R29" s="205">
        <f t="shared" si="2"/>
        <v>79.5</v>
      </c>
      <c r="S29" s="222"/>
      <c r="T29" s="133" t="s">
        <v>109</v>
      </c>
      <c r="U29" s="133" t="s">
        <v>110</v>
      </c>
      <c r="V29" s="134" t="s">
        <v>6</v>
      </c>
      <c r="W29" s="133" t="s">
        <v>30</v>
      </c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20"/>
      <c r="L30" s="27"/>
      <c r="M30" s="27"/>
      <c r="N30" s="40">
        <v>29.0</v>
      </c>
      <c r="O30" s="16">
        <v>3.0</v>
      </c>
      <c r="P30" s="58">
        <f t="shared" si="1"/>
        <v>80</v>
      </c>
      <c r="Q30" s="222"/>
      <c r="R30" s="205">
        <f t="shared" si="2"/>
        <v>80</v>
      </c>
      <c r="S30" s="222"/>
      <c r="T30" s="133" t="s">
        <v>112</v>
      </c>
      <c r="U30" s="133" t="s">
        <v>113</v>
      </c>
      <c r="V30" s="134" t="s">
        <v>6</v>
      </c>
      <c r="W30" s="135" t="s">
        <v>40</v>
      </c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20"/>
      <c r="L31" s="27"/>
      <c r="M31" s="27"/>
      <c r="N31" s="40">
        <v>30.0</v>
      </c>
      <c r="O31" s="16">
        <v>2.0</v>
      </c>
      <c r="P31" s="42">
        <f t="shared" si="1"/>
        <v>80</v>
      </c>
      <c r="Q31" s="222"/>
      <c r="R31" s="205">
        <f t="shared" si="2"/>
        <v>80</v>
      </c>
      <c r="S31" s="222"/>
      <c r="T31" s="133" t="s">
        <v>115</v>
      </c>
      <c r="U31" s="133" t="s">
        <v>116</v>
      </c>
      <c r="V31" s="134" t="s">
        <v>6</v>
      </c>
      <c r="W31" s="133" t="s">
        <v>72</v>
      </c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20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20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20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20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20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20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20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20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20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20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20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20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20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20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20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20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20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20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20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20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20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20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20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20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20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20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20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20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20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20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20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20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20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20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20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20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20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20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20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20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20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20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20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20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20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20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20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20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20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20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20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20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20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20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20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20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20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20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20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20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20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20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20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20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20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20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20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20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20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20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20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20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20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20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20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20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20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20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20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20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20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20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20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20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20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20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20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20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20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20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20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20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20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20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20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20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20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20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20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20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20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20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20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20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20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20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20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20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20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20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20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20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20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20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20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20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20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20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20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20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20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20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20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20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20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20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20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20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20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20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20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20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20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20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20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20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20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20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20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20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20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20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20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20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20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20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20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20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20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20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20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20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20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20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20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20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20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20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20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20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20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20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20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20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20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20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20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20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20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20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20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20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20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20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20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20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20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20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20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20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20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20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20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20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20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20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20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20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20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20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6" width="8.71"/>
    <col customWidth="1" min="7" max="7" width="9.14"/>
    <col customWidth="1" min="8" max="10" width="8.71"/>
    <col customWidth="1" min="11" max="11" width="12.29"/>
    <col customWidth="1" min="12" max="12" width="14.29"/>
    <col customWidth="1" min="20" max="20" width="32.71"/>
    <col customWidth="1" min="21" max="21" width="47.57"/>
    <col customWidth="1" min="22" max="22" width="32.29"/>
    <col customWidth="1" min="23" max="23" width="24.86"/>
  </cols>
  <sheetData>
    <row r="1">
      <c r="A1" s="186" t="s">
        <v>117</v>
      </c>
      <c r="B1" s="223" t="s">
        <v>311</v>
      </c>
      <c r="C1" s="223" t="s">
        <v>312</v>
      </c>
      <c r="D1" s="223" t="s">
        <v>313</v>
      </c>
      <c r="E1" s="223" t="s">
        <v>314</v>
      </c>
      <c r="F1" s="223" t="s">
        <v>315</v>
      </c>
      <c r="G1" s="223" t="s">
        <v>316</v>
      </c>
      <c r="H1" s="224" t="s">
        <v>121</v>
      </c>
      <c r="I1" s="224" t="s">
        <v>270</v>
      </c>
      <c r="J1" s="225" t="s">
        <v>271</v>
      </c>
      <c r="K1" s="186" t="s">
        <v>272</v>
      </c>
      <c r="L1" s="186" t="s">
        <v>317</v>
      </c>
      <c r="N1" s="28" t="s">
        <v>128</v>
      </c>
      <c r="O1" s="28" t="s">
        <v>129</v>
      </c>
      <c r="P1" s="28" t="s">
        <v>130</v>
      </c>
      <c r="Q1" s="194" t="s">
        <v>131</v>
      </c>
      <c r="R1" s="195" t="s">
        <v>132</v>
      </c>
      <c r="S1" s="196" t="s">
        <v>318</v>
      </c>
      <c r="T1" s="197" t="s">
        <v>134</v>
      </c>
      <c r="U1" s="197" t="s">
        <v>11</v>
      </c>
      <c r="V1" s="197" t="s">
        <v>12</v>
      </c>
      <c r="W1" s="32" t="s">
        <v>13</v>
      </c>
    </row>
    <row r="2">
      <c r="A2" s="202" t="s">
        <v>144</v>
      </c>
      <c r="B2" s="226">
        <v>80.0</v>
      </c>
      <c r="C2" s="226">
        <v>80.0</v>
      </c>
      <c r="D2" s="226">
        <v>80.0</v>
      </c>
      <c r="E2" s="226">
        <v>80.0</v>
      </c>
      <c r="F2" s="226">
        <v>80.0</v>
      </c>
      <c r="G2" s="226">
        <v>80.0</v>
      </c>
      <c r="H2" s="227">
        <f t="shared" ref="H2:H7" si="1">AVERAGE(B2:G2)</f>
        <v>80</v>
      </c>
      <c r="I2" s="215"/>
      <c r="J2" s="228">
        <f t="shared" ref="J2:J7" si="2">H2+I2</f>
        <v>80</v>
      </c>
      <c r="K2" s="202"/>
      <c r="L2" s="202"/>
      <c r="N2" s="87">
        <v>1.0</v>
      </c>
      <c r="O2" s="16">
        <v>5.0</v>
      </c>
      <c r="P2" s="42">
        <f t="shared" ref="P2:P31" si="3">IF(O2=1,$J$2,IF(O2=2,$J$3,IF(O2=3,$J$4,IF(O2=4,$J$5,IF(O2=5,$J$6,IF(O2=6,$J$7))))))</f>
        <v>80</v>
      </c>
      <c r="Q2" s="60"/>
      <c r="R2" s="44">
        <f t="shared" ref="R2:R31" si="4">P2+Q2</f>
        <v>80</v>
      </c>
      <c r="S2" s="61"/>
      <c r="T2" s="133" t="s">
        <v>20</v>
      </c>
      <c r="U2" s="133" t="s">
        <v>21</v>
      </c>
      <c r="V2" s="134" t="s">
        <v>6</v>
      </c>
      <c r="W2" s="135" t="s">
        <v>22</v>
      </c>
    </row>
    <row r="3">
      <c r="A3" s="202" t="s">
        <v>146</v>
      </c>
      <c r="B3" s="226">
        <v>80.0</v>
      </c>
      <c r="C3" s="226">
        <v>80.0</v>
      </c>
      <c r="D3" s="226">
        <v>80.0</v>
      </c>
      <c r="E3" s="226">
        <v>80.0</v>
      </c>
      <c r="F3" s="226">
        <v>80.0</v>
      </c>
      <c r="G3" s="226">
        <v>80.0</v>
      </c>
      <c r="H3" s="227">
        <f t="shared" si="1"/>
        <v>80</v>
      </c>
      <c r="I3" s="215"/>
      <c r="J3" s="228">
        <f t="shared" si="2"/>
        <v>80</v>
      </c>
      <c r="K3" s="202"/>
      <c r="L3" s="202"/>
      <c r="N3" s="87">
        <v>2.0</v>
      </c>
      <c r="O3" s="16">
        <v>5.0</v>
      </c>
      <c r="P3" s="58">
        <f t="shared" si="3"/>
        <v>80</v>
      </c>
      <c r="Q3" s="63"/>
      <c r="R3" s="44">
        <f t="shared" si="4"/>
        <v>80</v>
      </c>
      <c r="S3" s="61"/>
      <c r="T3" s="133" t="s">
        <v>24</v>
      </c>
      <c r="U3" s="133" t="s">
        <v>25</v>
      </c>
      <c r="V3" s="134" t="s">
        <v>3</v>
      </c>
      <c r="W3" s="135" t="s">
        <v>26</v>
      </c>
    </row>
    <row r="4">
      <c r="A4" s="202" t="s">
        <v>147</v>
      </c>
      <c r="B4" s="226">
        <v>80.0</v>
      </c>
      <c r="C4" s="226">
        <v>80.0</v>
      </c>
      <c r="D4" s="226">
        <v>80.0</v>
      </c>
      <c r="E4" s="226">
        <v>80.0</v>
      </c>
      <c r="F4" s="226">
        <v>80.0</v>
      </c>
      <c r="G4" s="226">
        <v>80.0</v>
      </c>
      <c r="H4" s="227">
        <f t="shared" si="1"/>
        <v>80</v>
      </c>
      <c r="I4" s="215"/>
      <c r="J4" s="228">
        <f t="shared" si="2"/>
        <v>80</v>
      </c>
      <c r="K4" s="202"/>
      <c r="L4" s="202"/>
      <c r="N4" s="87">
        <v>3.0</v>
      </c>
      <c r="O4" s="16">
        <v>3.0</v>
      </c>
      <c r="P4" s="42">
        <f t="shared" si="3"/>
        <v>80</v>
      </c>
      <c r="Q4" s="229"/>
      <c r="R4" s="44">
        <f t="shared" si="4"/>
        <v>80</v>
      </c>
      <c r="S4" s="230"/>
      <c r="T4" s="133" t="s">
        <v>28</v>
      </c>
      <c r="U4" s="133" t="s">
        <v>29</v>
      </c>
      <c r="V4" s="134" t="s">
        <v>3</v>
      </c>
      <c r="W4" s="133" t="s">
        <v>30</v>
      </c>
    </row>
    <row r="5">
      <c r="A5" s="202" t="s">
        <v>148</v>
      </c>
      <c r="B5" s="226">
        <v>80.0</v>
      </c>
      <c r="C5" s="226">
        <v>80.0</v>
      </c>
      <c r="D5" s="226">
        <v>80.0</v>
      </c>
      <c r="E5" s="226">
        <v>80.0</v>
      </c>
      <c r="F5" s="226">
        <v>80.0</v>
      </c>
      <c r="G5" s="226">
        <v>80.0</v>
      </c>
      <c r="H5" s="227">
        <f t="shared" si="1"/>
        <v>80</v>
      </c>
      <c r="I5" s="215"/>
      <c r="J5" s="228">
        <f t="shared" si="2"/>
        <v>80</v>
      </c>
      <c r="K5" s="202"/>
      <c r="L5" s="202"/>
      <c r="N5" s="87">
        <v>4.0</v>
      </c>
      <c r="O5" s="16">
        <v>6.0</v>
      </c>
      <c r="P5" s="58">
        <f t="shared" si="3"/>
        <v>80</v>
      </c>
      <c r="Q5" s="231"/>
      <c r="R5" s="44">
        <f t="shared" si="4"/>
        <v>80</v>
      </c>
      <c r="S5" s="230"/>
      <c r="T5" s="133" t="s">
        <v>32</v>
      </c>
      <c r="U5" s="133" t="s">
        <v>33</v>
      </c>
      <c r="V5" s="134" t="s">
        <v>6</v>
      </c>
      <c r="W5" s="135" t="s">
        <v>30</v>
      </c>
    </row>
    <row r="6">
      <c r="A6" s="202" t="s">
        <v>149</v>
      </c>
      <c r="B6" s="226">
        <v>80.0</v>
      </c>
      <c r="C6" s="226">
        <v>80.0</v>
      </c>
      <c r="D6" s="226">
        <v>80.0</v>
      </c>
      <c r="E6" s="226">
        <v>80.0</v>
      </c>
      <c r="F6" s="226">
        <v>80.0</v>
      </c>
      <c r="G6" s="226">
        <v>80.0</v>
      </c>
      <c r="H6" s="227">
        <f t="shared" si="1"/>
        <v>80</v>
      </c>
      <c r="I6" s="215"/>
      <c r="J6" s="228">
        <f t="shared" si="2"/>
        <v>80</v>
      </c>
      <c r="K6" s="202"/>
      <c r="L6" s="202"/>
      <c r="N6" s="87">
        <v>5.0</v>
      </c>
      <c r="O6" s="16">
        <v>1.0</v>
      </c>
      <c r="P6" s="42">
        <f t="shared" si="3"/>
        <v>80</v>
      </c>
      <c r="Q6" s="229"/>
      <c r="R6" s="44">
        <f t="shared" si="4"/>
        <v>80</v>
      </c>
      <c r="S6" s="230"/>
      <c r="T6" s="133" t="s">
        <v>35</v>
      </c>
      <c r="U6" s="133" t="s">
        <v>36</v>
      </c>
      <c r="V6" s="134" t="s">
        <v>6</v>
      </c>
      <c r="W6" s="135" t="s">
        <v>30</v>
      </c>
    </row>
    <row r="7">
      <c r="A7" s="202" t="s">
        <v>150</v>
      </c>
      <c r="B7" s="226">
        <v>80.0</v>
      </c>
      <c r="C7" s="226">
        <v>80.0</v>
      </c>
      <c r="D7" s="226">
        <v>80.0</v>
      </c>
      <c r="E7" s="226">
        <v>80.0</v>
      </c>
      <c r="F7" s="226">
        <v>80.0</v>
      </c>
      <c r="G7" s="226">
        <v>80.0</v>
      </c>
      <c r="H7" s="227">
        <f t="shared" si="1"/>
        <v>80</v>
      </c>
      <c r="I7" s="215"/>
      <c r="J7" s="228">
        <f t="shared" si="2"/>
        <v>80</v>
      </c>
      <c r="K7" s="202"/>
      <c r="L7" s="202"/>
      <c r="N7" s="87">
        <v>6.0</v>
      </c>
      <c r="O7" s="16">
        <v>6.0</v>
      </c>
      <c r="P7" s="58">
        <f t="shared" si="3"/>
        <v>80</v>
      </c>
      <c r="Q7" s="231"/>
      <c r="R7" s="44">
        <f t="shared" si="4"/>
        <v>80</v>
      </c>
      <c r="S7" s="230"/>
      <c r="T7" s="133" t="s">
        <v>38</v>
      </c>
      <c r="U7" s="133" t="s">
        <v>39</v>
      </c>
      <c r="V7" s="134" t="s">
        <v>2</v>
      </c>
      <c r="W7" s="133" t="s">
        <v>40</v>
      </c>
    </row>
    <row r="8">
      <c r="B8" s="232"/>
      <c r="C8" s="232"/>
      <c r="D8" s="232"/>
      <c r="E8" s="232"/>
      <c r="F8" s="232"/>
      <c r="G8" s="232"/>
      <c r="H8" s="233"/>
      <c r="N8" s="87">
        <v>7.0</v>
      </c>
      <c r="O8" s="16">
        <v>5.0</v>
      </c>
      <c r="P8" s="42">
        <f t="shared" si="3"/>
        <v>80</v>
      </c>
      <c r="Q8" s="229"/>
      <c r="R8" s="44">
        <f t="shared" si="4"/>
        <v>80</v>
      </c>
      <c r="S8" s="230"/>
      <c r="T8" s="133" t="s">
        <v>42</v>
      </c>
      <c r="U8" s="133" t="s">
        <v>43</v>
      </c>
      <c r="V8" s="134" t="s">
        <v>6</v>
      </c>
      <c r="W8" s="133" t="s">
        <v>40</v>
      </c>
    </row>
    <row r="9">
      <c r="B9" s="234"/>
      <c r="C9" s="234"/>
      <c r="D9" s="234"/>
      <c r="E9" s="234"/>
      <c r="F9" s="234"/>
      <c r="G9" s="234"/>
      <c r="H9" s="233"/>
      <c r="N9" s="87">
        <v>8.0</v>
      </c>
      <c r="O9" s="16">
        <v>5.0</v>
      </c>
      <c r="P9" s="58">
        <f t="shared" si="3"/>
        <v>80</v>
      </c>
      <c r="Q9" s="231"/>
      <c r="R9" s="44">
        <f t="shared" si="4"/>
        <v>80</v>
      </c>
      <c r="S9" s="230"/>
      <c r="T9" s="133" t="s">
        <v>45</v>
      </c>
      <c r="U9" s="133" t="s">
        <v>46</v>
      </c>
      <c r="V9" s="134" t="s">
        <v>3</v>
      </c>
      <c r="W9" s="133" t="s">
        <v>47</v>
      </c>
    </row>
    <row r="10">
      <c r="B10" s="234"/>
      <c r="C10" s="234"/>
      <c r="D10" s="234"/>
      <c r="E10" s="234"/>
      <c r="F10" s="234"/>
      <c r="G10" s="234"/>
      <c r="H10" s="233"/>
      <c r="N10" s="87">
        <v>9.0</v>
      </c>
      <c r="O10" s="16">
        <v>2.0</v>
      </c>
      <c r="P10" s="42">
        <f t="shared" si="3"/>
        <v>80</v>
      </c>
      <c r="Q10" s="229"/>
      <c r="R10" s="44">
        <f t="shared" si="4"/>
        <v>80</v>
      </c>
      <c r="S10" s="230"/>
      <c r="T10" s="133" t="s">
        <v>49</v>
      </c>
      <c r="U10" s="133" t="s">
        <v>50</v>
      </c>
      <c r="V10" s="134" t="s">
        <v>4</v>
      </c>
      <c r="W10" s="135" t="s">
        <v>30</v>
      </c>
    </row>
    <row r="11">
      <c r="B11" s="234"/>
      <c r="C11" s="234"/>
      <c r="D11" s="234"/>
      <c r="E11" s="234"/>
      <c r="F11" s="234"/>
      <c r="G11" s="234"/>
      <c r="H11" s="233"/>
      <c r="N11" s="87">
        <v>10.0</v>
      </c>
      <c r="O11" s="16">
        <v>1.0</v>
      </c>
      <c r="P11" s="58">
        <f t="shared" si="3"/>
        <v>80</v>
      </c>
      <c r="Q11" s="231"/>
      <c r="R11" s="44">
        <f t="shared" si="4"/>
        <v>80</v>
      </c>
      <c r="S11" s="230"/>
      <c r="T11" s="133" t="s">
        <v>52</v>
      </c>
      <c r="U11" s="133" t="s">
        <v>53</v>
      </c>
      <c r="V11" s="134" t="s">
        <v>6</v>
      </c>
      <c r="W11" s="133" t="s">
        <v>30</v>
      </c>
    </row>
    <row r="12">
      <c r="B12" s="234"/>
      <c r="C12" s="234"/>
      <c r="D12" s="234"/>
      <c r="E12" s="234"/>
      <c r="F12" s="234"/>
      <c r="G12" s="234"/>
      <c r="H12" s="233"/>
      <c r="N12" s="87">
        <v>11.0</v>
      </c>
      <c r="O12" s="16">
        <v>6.0</v>
      </c>
      <c r="P12" s="42">
        <f t="shared" si="3"/>
        <v>80</v>
      </c>
      <c r="Q12" s="229"/>
      <c r="R12" s="44">
        <f t="shared" si="4"/>
        <v>80</v>
      </c>
      <c r="S12" s="230"/>
      <c r="T12" s="133" t="s">
        <v>55</v>
      </c>
      <c r="U12" s="133" t="s">
        <v>56</v>
      </c>
      <c r="V12" s="134" t="s">
        <v>5</v>
      </c>
      <c r="W12" s="133" t="s">
        <v>22</v>
      </c>
    </row>
    <row r="13">
      <c r="B13" s="234"/>
      <c r="C13" s="234"/>
      <c r="D13" s="234"/>
      <c r="E13" s="234"/>
      <c r="F13" s="234"/>
      <c r="G13" s="234"/>
      <c r="H13" s="233"/>
      <c r="N13" s="87">
        <v>12.0</v>
      </c>
      <c r="O13" s="16">
        <v>3.0</v>
      </c>
      <c r="P13" s="58">
        <f t="shared" si="3"/>
        <v>80</v>
      </c>
      <c r="Q13" s="139">
        <v>85.0</v>
      </c>
      <c r="R13" s="44">
        <f t="shared" si="4"/>
        <v>165</v>
      </c>
      <c r="S13" s="235" t="s">
        <v>151</v>
      </c>
      <c r="T13" s="133" t="s">
        <v>58</v>
      </c>
      <c r="U13" s="133" t="s">
        <v>59</v>
      </c>
      <c r="V13" s="134" t="s">
        <v>2</v>
      </c>
      <c r="W13" s="135" t="s">
        <v>40</v>
      </c>
    </row>
    <row r="14">
      <c r="B14" s="234"/>
      <c r="C14" s="234"/>
      <c r="D14" s="234"/>
      <c r="E14" s="234"/>
      <c r="F14" s="234"/>
      <c r="G14" s="234"/>
      <c r="H14" s="233"/>
      <c r="N14" s="87">
        <v>13.0</v>
      </c>
      <c r="O14" s="16">
        <v>2.0</v>
      </c>
      <c r="P14" s="42">
        <f t="shared" si="3"/>
        <v>80</v>
      </c>
      <c r="Q14" s="229"/>
      <c r="R14" s="44">
        <f t="shared" si="4"/>
        <v>80</v>
      </c>
      <c r="S14" s="230"/>
      <c r="T14" s="133" t="s">
        <v>61</v>
      </c>
      <c r="U14" s="133" t="s">
        <v>62</v>
      </c>
      <c r="V14" s="134" t="s">
        <v>6</v>
      </c>
      <c r="W14" s="133" t="s">
        <v>22</v>
      </c>
    </row>
    <row r="15">
      <c r="B15" s="234"/>
      <c r="C15" s="234"/>
      <c r="D15" s="234"/>
      <c r="E15" s="234"/>
      <c r="F15" s="234"/>
      <c r="G15" s="234"/>
      <c r="H15" s="233"/>
      <c r="N15" s="87">
        <v>14.0</v>
      </c>
      <c r="O15" s="16">
        <v>3.0</v>
      </c>
      <c r="P15" s="58">
        <f t="shared" si="3"/>
        <v>80</v>
      </c>
      <c r="Q15" s="231"/>
      <c r="R15" s="44">
        <f t="shared" si="4"/>
        <v>80</v>
      </c>
      <c r="S15" s="230"/>
      <c r="T15" s="133" t="s">
        <v>64</v>
      </c>
      <c r="U15" s="133" t="s">
        <v>65</v>
      </c>
      <c r="V15" s="134" t="s">
        <v>3</v>
      </c>
      <c r="W15" s="135" t="s">
        <v>30</v>
      </c>
    </row>
    <row r="16">
      <c r="B16" s="234"/>
      <c r="C16" s="234"/>
      <c r="D16" s="234"/>
      <c r="E16" s="234"/>
      <c r="F16" s="234"/>
      <c r="G16" s="234"/>
      <c r="H16" s="233"/>
      <c r="N16" s="87">
        <v>15.0</v>
      </c>
      <c r="O16" s="16">
        <v>2.0</v>
      </c>
      <c r="P16" s="42">
        <f t="shared" si="3"/>
        <v>80</v>
      </c>
      <c r="Q16" s="229"/>
      <c r="R16" s="44">
        <f t="shared" si="4"/>
        <v>80</v>
      </c>
      <c r="S16" s="230"/>
      <c r="T16" s="133" t="s">
        <v>67</v>
      </c>
      <c r="U16" s="133" t="s">
        <v>68</v>
      </c>
      <c r="V16" s="134" t="s">
        <v>6</v>
      </c>
      <c r="W16" s="133" t="s">
        <v>47</v>
      </c>
    </row>
    <row r="17">
      <c r="B17" s="234"/>
      <c r="C17" s="234"/>
      <c r="D17" s="234"/>
      <c r="E17" s="234"/>
      <c r="F17" s="234"/>
      <c r="G17" s="234"/>
      <c r="H17" s="233"/>
      <c r="N17" s="87">
        <v>16.0</v>
      </c>
      <c r="O17" s="16">
        <v>1.0</v>
      </c>
      <c r="P17" s="58">
        <f t="shared" si="3"/>
        <v>80</v>
      </c>
      <c r="Q17" s="139">
        <v>85.0</v>
      </c>
      <c r="R17" s="44">
        <f t="shared" si="4"/>
        <v>165</v>
      </c>
      <c r="S17" s="235" t="s">
        <v>235</v>
      </c>
      <c r="T17" s="133" t="s">
        <v>70</v>
      </c>
      <c r="U17" s="133" t="s">
        <v>71</v>
      </c>
      <c r="V17" s="134" t="s">
        <v>6</v>
      </c>
      <c r="W17" s="133" t="s">
        <v>72</v>
      </c>
    </row>
    <row r="18">
      <c r="B18" s="234"/>
      <c r="C18" s="234"/>
      <c r="D18" s="234"/>
      <c r="E18" s="234"/>
      <c r="F18" s="234"/>
      <c r="G18" s="234"/>
      <c r="H18" s="233"/>
      <c r="N18" s="87">
        <v>17.0</v>
      </c>
      <c r="O18" s="16">
        <v>5.0</v>
      </c>
      <c r="P18" s="88">
        <f t="shared" si="3"/>
        <v>80</v>
      </c>
      <c r="Q18" s="89"/>
      <c r="R18" s="90">
        <f t="shared" si="4"/>
        <v>80</v>
      </c>
      <c r="S18" s="89"/>
      <c r="T18" s="133" t="s">
        <v>74</v>
      </c>
      <c r="U18" s="133" t="s">
        <v>75</v>
      </c>
      <c r="V18" s="134" t="s">
        <v>6</v>
      </c>
      <c r="W18" s="133" t="s">
        <v>47</v>
      </c>
    </row>
    <row r="19">
      <c r="B19" s="234"/>
      <c r="C19" s="234"/>
      <c r="D19" s="234"/>
      <c r="E19" s="234"/>
      <c r="F19" s="234"/>
      <c r="G19" s="234"/>
      <c r="H19" s="233"/>
      <c r="N19" s="87">
        <v>18.0</v>
      </c>
      <c r="O19" s="16">
        <v>1.0</v>
      </c>
      <c r="P19" s="88">
        <f t="shared" si="3"/>
        <v>80</v>
      </c>
      <c r="Q19" s="89"/>
      <c r="R19" s="90">
        <f t="shared" si="4"/>
        <v>80</v>
      </c>
      <c r="S19" s="89"/>
      <c r="T19" s="133" t="s">
        <v>77</v>
      </c>
      <c r="U19" s="133" t="s">
        <v>78</v>
      </c>
      <c r="V19" s="134" t="s">
        <v>3</v>
      </c>
      <c r="W19" s="135" t="s">
        <v>40</v>
      </c>
    </row>
    <row r="20">
      <c r="B20" s="234"/>
      <c r="C20" s="234"/>
      <c r="D20" s="234"/>
      <c r="E20" s="234"/>
      <c r="F20" s="234"/>
      <c r="G20" s="234"/>
      <c r="H20" s="233"/>
      <c r="N20" s="87">
        <v>19.0</v>
      </c>
      <c r="O20" s="16">
        <v>1.0</v>
      </c>
      <c r="P20" s="88">
        <f t="shared" si="3"/>
        <v>80</v>
      </c>
      <c r="Q20" s="89"/>
      <c r="R20" s="90">
        <f t="shared" si="4"/>
        <v>80</v>
      </c>
      <c r="S20" s="89"/>
      <c r="T20" s="133" t="s">
        <v>80</v>
      </c>
      <c r="U20" s="133" t="s">
        <v>81</v>
      </c>
      <c r="V20" s="134" t="s">
        <v>6</v>
      </c>
      <c r="W20" s="135" t="s">
        <v>40</v>
      </c>
    </row>
    <row r="21" ht="15.75" customHeight="1">
      <c r="B21" s="234"/>
      <c r="C21" s="234"/>
      <c r="D21" s="234"/>
      <c r="E21" s="234"/>
      <c r="F21" s="234"/>
      <c r="G21" s="234"/>
      <c r="H21" s="233"/>
      <c r="N21" s="87">
        <v>20.0</v>
      </c>
      <c r="O21" s="16">
        <v>4.0</v>
      </c>
      <c r="P21" s="88">
        <f t="shared" si="3"/>
        <v>80</v>
      </c>
      <c r="Q21" s="89"/>
      <c r="R21" s="90">
        <f t="shared" si="4"/>
        <v>80</v>
      </c>
      <c r="S21" s="89"/>
      <c r="T21" s="133" t="s">
        <v>83</v>
      </c>
      <c r="U21" s="133" t="s">
        <v>84</v>
      </c>
      <c r="V21" s="134" t="s">
        <v>6</v>
      </c>
      <c r="W21" s="133" t="s">
        <v>30</v>
      </c>
    </row>
    <row r="22" ht="15.75" customHeight="1">
      <c r="B22" s="234"/>
      <c r="C22" s="234"/>
      <c r="D22" s="234"/>
      <c r="E22" s="234"/>
      <c r="F22" s="234"/>
      <c r="G22" s="234"/>
      <c r="H22" s="233"/>
      <c r="N22" s="40">
        <v>21.0</v>
      </c>
      <c r="O22" s="16">
        <v>3.0</v>
      </c>
      <c r="P22" s="88">
        <f t="shared" si="3"/>
        <v>80</v>
      </c>
      <c r="Q22" s="221"/>
      <c r="R22" s="90">
        <f t="shared" si="4"/>
        <v>80</v>
      </c>
      <c r="S22" s="221"/>
      <c r="T22" s="133" t="s">
        <v>86</v>
      </c>
      <c r="U22" s="133" t="s">
        <v>87</v>
      </c>
      <c r="V22" s="134" t="s">
        <v>6</v>
      </c>
      <c r="W22" s="135" t="s">
        <v>72</v>
      </c>
    </row>
    <row r="23" ht="15.75" customHeight="1">
      <c r="B23" s="234"/>
      <c r="C23" s="234"/>
      <c r="D23" s="234"/>
      <c r="E23" s="234"/>
      <c r="F23" s="234"/>
      <c r="G23" s="234"/>
      <c r="H23" s="233"/>
      <c r="N23" s="40">
        <v>22.0</v>
      </c>
      <c r="O23" s="16">
        <v>2.0</v>
      </c>
      <c r="P23" s="88">
        <f t="shared" si="3"/>
        <v>80</v>
      </c>
      <c r="Q23" s="221"/>
      <c r="R23" s="90">
        <f t="shared" si="4"/>
        <v>80</v>
      </c>
      <c r="S23" s="221"/>
      <c r="T23" s="133" t="s">
        <v>89</v>
      </c>
      <c r="U23" s="133" t="s">
        <v>90</v>
      </c>
      <c r="V23" s="134" t="s">
        <v>6</v>
      </c>
      <c r="W23" s="133" t="s">
        <v>47</v>
      </c>
    </row>
    <row r="24" ht="15.75" customHeight="1">
      <c r="B24" s="234"/>
      <c r="C24" s="234"/>
      <c r="D24" s="234"/>
      <c r="E24" s="234"/>
      <c r="F24" s="234"/>
      <c r="G24" s="234"/>
      <c r="H24" s="233"/>
      <c r="N24" s="40">
        <v>23.0</v>
      </c>
      <c r="O24" s="16">
        <v>4.0</v>
      </c>
      <c r="P24" s="88">
        <f t="shared" si="3"/>
        <v>80</v>
      </c>
      <c r="Q24" s="221"/>
      <c r="R24" s="90">
        <f t="shared" si="4"/>
        <v>80</v>
      </c>
      <c r="S24" s="221"/>
      <c r="T24" s="133" t="s">
        <v>92</v>
      </c>
      <c r="U24" s="133" t="s">
        <v>93</v>
      </c>
      <c r="V24" s="134" t="s">
        <v>6</v>
      </c>
      <c r="W24" s="133" t="s">
        <v>94</v>
      </c>
    </row>
    <row r="25" ht="15.75" customHeight="1">
      <c r="B25" s="234"/>
      <c r="C25" s="234"/>
      <c r="D25" s="234"/>
      <c r="E25" s="234"/>
      <c r="F25" s="234"/>
      <c r="G25" s="234"/>
      <c r="H25" s="233"/>
      <c r="N25" s="40">
        <v>24.0</v>
      </c>
      <c r="O25" s="16">
        <v>4.0</v>
      </c>
      <c r="P25" s="88">
        <f t="shared" si="3"/>
        <v>80</v>
      </c>
      <c r="Q25" s="221"/>
      <c r="R25" s="90">
        <f t="shared" si="4"/>
        <v>80</v>
      </c>
      <c r="S25" s="221"/>
      <c r="T25" s="133" t="s">
        <v>96</v>
      </c>
      <c r="U25" s="133" t="s">
        <v>97</v>
      </c>
      <c r="V25" s="134" t="s">
        <v>6</v>
      </c>
      <c r="W25" s="133" t="s">
        <v>98</v>
      </c>
    </row>
    <row r="26" ht="15.75" customHeight="1">
      <c r="B26" s="234"/>
      <c r="C26" s="234"/>
      <c r="D26" s="234"/>
      <c r="E26" s="234"/>
      <c r="F26" s="234"/>
      <c r="G26" s="234"/>
      <c r="H26" s="233"/>
      <c r="N26" s="40">
        <v>25.0</v>
      </c>
      <c r="O26" s="16">
        <v>4.0</v>
      </c>
      <c r="P26" s="58">
        <f t="shared" si="3"/>
        <v>80</v>
      </c>
      <c r="Q26" s="45">
        <v>85.0</v>
      </c>
      <c r="R26" s="44">
        <f t="shared" si="4"/>
        <v>165</v>
      </c>
      <c r="S26" s="235" t="s">
        <v>151</v>
      </c>
      <c r="T26" s="133" t="s">
        <v>100</v>
      </c>
      <c r="U26" s="133" t="s">
        <v>101</v>
      </c>
      <c r="V26" s="134" t="s">
        <v>2</v>
      </c>
      <c r="W26" s="135" t="s">
        <v>40</v>
      </c>
    </row>
    <row r="27" ht="15.75" customHeight="1">
      <c r="B27" s="234"/>
      <c r="C27" s="234"/>
      <c r="D27" s="234"/>
      <c r="E27" s="234"/>
      <c r="F27" s="234"/>
      <c r="G27" s="234"/>
      <c r="H27" s="233"/>
      <c r="N27" s="40">
        <v>26.0</v>
      </c>
      <c r="O27" s="16">
        <v>4.0</v>
      </c>
      <c r="P27" s="42">
        <f t="shared" si="3"/>
        <v>80</v>
      </c>
      <c r="Q27" s="222"/>
      <c r="R27" s="44">
        <f t="shared" si="4"/>
        <v>80</v>
      </c>
      <c r="S27" s="236"/>
      <c r="T27" s="133" t="s">
        <v>103</v>
      </c>
      <c r="U27" s="133" t="s">
        <v>104</v>
      </c>
      <c r="V27" s="134" t="s">
        <v>5</v>
      </c>
      <c r="W27" s="135" t="s">
        <v>30</v>
      </c>
    </row>
    <row r="28" ht="15.75" customHeight="1">
      <c r="B28" s="234"/>
      <c r="C28" s="234"/>
      <c r="D28" s="234"/>
      <c r="E28" s="234"/>
      <c r="F28" s="234"/>
      <c r="G28" s="234"/>
      <c r="H28" s="233"/>
      <c r="N28" s="40">
        <v>27.0</v>
      </c>
      <c r="O28" s="16">
        <v>6.0</v>
      </c>
      <c r="P28" s="58">
        <f t="shared" si="3"/>
        <v>80</v>
      </c>
      <c r="Q28" s="222"/>
      <c r="R28" s="44">
        <f t="shared" si="4"/>
        <v>80</v>
      </c>
      <c r="S28" s="236"/>
      <c r="T28" s="133" t="s">
        <v>106</v>
      </c>
      <c r="U28" s="133" t="s">
        <v>107</v>
      </c>
      <c r="V28" s="134" t="s">
        <v>5</v>
      </c>
      <c r="W28" s="133" t="s">
        <v>30</v>
      </c>
    </row>
    <row r="29" ht="15.75" customHeight="1">
      <c r="B29" s="234"/>
      <c r="C29" s="234"/>
      <c r="D29" s="234"/>
      <c r="E29" s="234"/>
      <c r="F29" s="234"/>
      <c r="G29" s="234"/>
      <c r="H29" s="233"/>
      <c r="N29" s="40">
        <v>28.0</v>
      </c>
      <c r="O29" s="16">
        <v>6.0</v>
      </c>
      <c r="P29" s="42">
        <f t="shared" si="3"/>
        <v>80</v>
      </c>
      <c r="Q29" s="45">
        <v>85.0</v>
      </c>
      <c r="R29" s="44">
        <f t="shared" si="4"/>
        <v>165</v>
      </c>
      <c r="S29" s="235" t="s">
        <v>235</v>
      </c>
      <c r="T29" s="133" t="s">
        <v>109</v>
      </c>
      <c r="U29" s="133" t="s">
        <v>110</v>
      </c>
      <c r="V29" s="134" t="s">
        <v>6</v>
      </c>
      <c r="W29" s="133" t="s">
        <v>30</v>
      </c>
    </row>
    <row r="30" ht="15.75" customHeight="1">
      <c r="B30" s="234"/>
      <c r="C30" s="234"/>
      <c r="D30" s="234"/>
      <c r="E30" s="234"/>
      <c r="F30" s="234"/>
      <c r="G30" s="234"/>
      <c r="H30" s="233"/>
      <c r="N30" s="40">
        <v>29.0</v>
      </c>
      <c r="O30" s="16">
        <v>3.0</v>
      </c>
      <c r="P30" s="58">
        <f t="shared" si="3"/>
        <v>80</v>
      </c>
      <c r="Q30" s="222"/>
      <c r="R30" s="44">
        <f t="shared" si="4"/>
        <v>80</v>
      </c>
      <c r="S30" s="236"/>
      <c r="T30" s="133" t="s">
        <v>112</v>
      </c>
      <c r="U30" s="133" t="s">
        <v>113</v>
      </c>
      <c r="V30" s="134" t="s">
        <v>6</v>
      </c>
      <c r="W30" s="135" t="s">
        <v>40</v>
      </c>
    </row>
    <row r="31" ht="15.75" customHeight="1">
      <c r="B31" s="234"/>
      <c r="C31" s="234"/>
      <c r="D31" s="234"/>
      <c r="E31" s="234"/>
      <c r="F31" s="234"/>
      <c r="G31" s="234"/>
      <c r="H31" s="233"/>
      <c r="N31" s="40">
        <v>30.0</v>
      </c>
      <c r="O31" s="16">
        <v>2.0</v>
      </c>
      <c r="P31" s="42">
        <f t="shared" si="3"/>
        <v>80</v>
      </c>
      <c r="Q31" s="45">
        <v>85.0</v>
      </c>
      <c r="R31" s="44">
        <f t="shared" si="4"/>
        <v>165</v>
      </c>
      <c r="S31" s="235" t="s">
        <v>235</v>
      </c>
      <c r="T31" s="133" t="s">
        <v>115</v>
      </c>
      <c r="U31" s="133" t="s">
        <v>116</v>
      </c>
      <c r="V31" s="134" t="s">
        <v>6</v>
      </c>
      <c r="W31" s="133" t="s">
        <v>72</v>
      </c>
    </row>
    <row r="32" ht="15.75" customHeight="1">
      <c r="B32" s="234"/>
      <c r="C32" s="234"/>
      <c r="D32" s="234"/>
      <c r="E32" s="234"/>
      <c r="F32" s="234"/>
      <c r="G32" s="234"/>
      <c r="H32" s="233"/>
    </row>
    <row r="33" ht="15.75" customHeight="1">
      <c r="B33" s="234"/>
      <c r="C33" s="234"/>
      <c r="D33" s="234"/>
      <c r="E33" s="234"/>
      <c r="F33" s="234"/>
      <c r="G33" s="234"/>
      <c r="H33" s="233"/>
    </row>
    <row r="34" ht="15.75" customHeight="1">
      <c r="B34" s="234"/>
      <c r="C34" s="234"/>
      <c r="D34" s="234"/>
      <c r="E34" s="234"/>
      <c r="F34" s="234"/>
      <c r="G34" s="234"/>
      <c r="H34" s="233"/>
    </row>
    <row r="35" ht="15.75" customHeight="1">
      <c r="B35" s="234"/>
      <c r="C35" s="234"/>
      <c r="D35" s="234"/>
      <c r="E35" s="234"/>
      <c r="F35" s="234"/>
      <c r="G35" s="234"/>
      <c r="H35" s="233"/>
    </row>
    <row r="36" ht="15.75" customHeight="1">
      <c r="B36" s="234"/>
      <c r="C36" s="234"/>
      <c r="D36" s="234"/>
      <c r="E36" s="234"/>
      <c r="F36" s="234"/>
      <c r="G36" s="234"/>
      <c r="H36" s="233"/>
    </row>
    <row r="37" ht="15.75" customHeight="1">
      <c r="B37" s="234"/>
      <c r="C37" s="234"/>
      <c r="D37" s="234"/>
      <c r="E37" s="234"/>
      <c r="F37" s="234"/>
      <c r="G37" s="234"/>
      <c r="H37" s="233"/>
    </row>
    <row r="38" ht="15.75" customHeight="1">
      <c r="B38" s="234"/>
      <c r="C38" s="234"/>
      <c r="D38" s="234"/>
      <c r="E38" s="234"/>
      <c r="F38" s="234"/>
      <c r="G38" s="234"/>
      <c r="H38" s="233"/>
    </row>
    <row r="39" ht="15.75" customHeight="1">
      <c r="B39" s="234"/>
      <c r="C39" s="234"/>
      <c r="D39" s="234"/>
      <c r="E39" s="234"/>
      <c r="F39" s="234"/>
      <c r="G39" s="234"/>
      <c r="H39" s="233"/>
    </row>
    <row r="40" ht="15.75" customHeight="1">
      <c r="B40" s="234"/>
      <c r="C40" s="234"/>
      <c r="D40" s="234"/>
      <c r="E40" s="234"/>
      <c r="F40" s="234"/>
      <c r="G40" s="234"/>
      <c r="H40" s="233"/>
    </row>
    <row r="41" ht="15.75" customHeight="1">
      <c r="B41" s="234"/>
      <c r="C41" s="234"/>
      <c r="D41" s="234"/>
      <c r="E41" s="234"/>
      <c r="F41" s="234"/>
      <c r="G41" s="234"/>
      <c r="H41" s="233"/>
    </row>
    <row r="42" ht="15.75" customHeight="1">
      <c r="B42" s="234"/>
      <c r="C42" s="234"/>
      <c r="D42" s="234"/>
      <c r="E42" s="234"/>
      <c r="F42" s="234"/>
      <c r="G42" s="234"/>
      <c r="H42" s="233"/>
    </row>
    <row r="43" ht="15.75" customHeight="1">
      <c r="B43" s="234"/>
      <c r="C43" s="234"/>
      <c r="D43" s="234"/>
      <c r="E43" s="234"/>
      <c r="F43" s="234"/>
      <c r="G43" s="234"/>
      <c r="H43" s="233"/>
    </row>
    <row r="44" ht="15.75" customHeight="1">
      <c r="B44" s="234"/>
      <c r="C44" s="234"/>
      <c r="D44" s="234"/>
      <c r="E44" s="234"/>
      <c r="F44" s="234"/>
      <c r="G44" s="234"/>
      <c r="H44" s="233"/>
    </row>
    <row r="45" ht="15.75" customHeight="1">
      <c r="B45" s="234"/>
      <c r="C45" s="234"/>
      <c r="D45" s="234"/>
      <c r="E45" s="234"/>
      <c r="F45" s="234"/>
      <c r="G45" s="234"/>
      <c r="H45" s="233"/>
    </row>
    <row r="46" ht="15.75" customHeight="1">
      <c r="B46" s="234"/>
      <c r="C46" s="234"/>
      <c r="D46" s="234"/>
      <c r="E46" s="234"/>
      <c r="F46" s="234"/>
      <c r="G46" s="234"/>
      <c r="H46" s="233"/>
    </row>
    <row r="47" ht="15.75" customHeight="1">
      <c r="B47" s="234"/>
      <c r="C47" s="234"/>
      <c r="D47" s="234"/>
      <c r="E47" s="234"/>
      <c r="F47" s="234"/>
      <c r="G47" s="234"/>
      <c r="H47" s="233"/>
    </row>
    <row r="48" ht="15.75" customHeight="1">
      <c r="B48" s="234"/>
      <c r="C48" s="234"/>
      <c r="D48" s="234"/>
      <c r="E48" s="234"/>
      <c r="F48" s="234"/>
      <c r="G48" s="234"/>
      <c r="H48" s="233"/>
    </row>
    <row r="49" ht="15.75" customHeight="1">
      <c r="B49" s="234"/>
      <c r="C49" s="234"/>
      <c r="D49" s="234"/>
      <c r="E49" s="234"/>
      <c r="F49" s="234"/>
      <c r="G49" s="234"/>
      <c r="H49" s="233"/>
    </row>
    <row r="50" ht="15.75" customHeight="1">
      <c r="B50" s="234"/>
      <c r="C50" s="234"/>
      <c r="D50" s="234"/>
      <c r="E50" s="234"/>
      <c r="F50" s="234"/>
      <c r="G50" s="234"/>
      <c r="H50" s="233"/>
    </row>
    <row r="51" ht="15.75" customHeight="1">
      <c r="B51" s="234"/>
      <c r="C51" s="234"/>
      <c r="D51" s="234"/>
      <c r="E51" s="234"/>
      <c r="F51" s="234"/>
      <c r="G51" s="234"/>
      <c r="H51" s="233"/>
    </row>
    <row r="52" ht="15.75" customHeight="1">
      <c r="B52" s="234"/>
      <c r="C52" s="234"/>
      <c r="D52" s="234"/>
      <c r="E52" s="234"/>
      <c r="F52" s="234"/>
      <c r="G52" s="234"/>
      <c r="H52" s="233"/>
    </row>
    <row r="53" ht="15.75" customHeight="1">
      <c r="B53" s="234"/>
      <c r="C53" s="234"/>
      <c r="D53" s="234"/>
      <c r="E53" s="234"/>
      <c r="F53" s="234"/>
      <c r="G53" s="234"/>
      <c r="H53" s="233"/>
    </row>
    <row r="54" ht="15.75" customHeight="1">
      <c r="B54" s="234"/>
      <c r="C54" s="234"/>
      <c r="D54" s="234"/>
      <c r="E54" s="234"/>
      <c r="F54" s="234"/>
      <c r="G54" s="234"/>
      <c r="H54" s="233"/>
    </row>
    <row r="55" ht="15.75" customHeight="1">
      <c r="B55" s="234"/>
      <c r="C55" s="234"/>
      <c r="D55" s="234"/>
      <c r="E55" s="234"/>
      <c r="F55" s="234"/>
      <c r="G55" s="234"/>
      <c r="H55" s="233"/>
    </row>
    <row r="56" ht="15.75" customHeight="1">
      <c r="B56" s="234"/>
      <c r="C56" s="234"/>
      <c r="D56" s="234"/>
      <c r="E56" s="234"/>
      <c r="F56" s="234"/>
      <c r="G56" s="234"/>
      <c r="H56" s="233"/>
    </row>
    <row r="57" ht="15.75" customHeight="1">
      <c r="B57" s="234"/>
      <c r="C57" s="234"/>
      <c r="D57" s="234"/>
      <c r="E57" s="234"/>
      <c r="F57" s="234"/>
      <c r="G57" s="234"/>
      <c r="H57" s="233"/>
    </row>
    <row r="58" ht="15.75" customHeight="1">
      <c r="B58" s="234"/>
      <c r="C58" s="234"/>
      <c r="D58" s="234"/>
      <c r="E58" s="234"/>
      <c r="F58" s="234"/>
      <c r="G58" s="234"/>
      <c r="H58" s="233"/>
    </row>
    <row r="59" ht="15.75" customHeight="1">
      <c r="B59" s="234"/>
      <c r="C59" s="234"/>
      <c r="D59" s="234"/>
      <c r="E59" s="234"/>
      <c r="F59" s="234"/>
      <c r="G59" s="234"/>
      <c r="H59" s="233"/>
    </row>
    <row r="60" ht="15.75" customHeight="1">
      <c r="B60" s="234"/>
      <c r="C60" s="234"/>
      <c r="D60" s="234"/>
      <c r="E60" s="234"/>
      <c r="F60" s="234"/>
      <c r="G60" s="234"/>
      <c r="H60" s="233"/>
    </row>
    <row r="61" ht="15.75" customHeight="1">
      <c r="B61" s="234"/>
      <c r="C61" s="234"/>
      <c r="D61" s="234"/>
      <c r="E61" s="234"/>
      <c r="F61" s="234"/>
      <c r="G61" s="234"/>
      <c r="H61" s="233"/>
    </row>
    <row r="62" ht="15.75" customHeight="1">
      <c r="B62" s="234"/>
      <c r="C62" s="234"/>
      <c r="D62" s="234"/>
      <c r="E62" s="234"/>
      <c r="F62" s="234"/>
      <c r="G62" s="234"/>
      <c r="H62" s="233"/>
    </row>
    <row r="63" ht="15.75" customHeight="1">
      <c r="B63" s="234"/>
      <c r="C63" s="234"/>
      <c r="D63" s="234"/>
      <c r="E63" s="234"/>
      <c r="F63" s="234"/>
      <c r="G63" s="234"/>
      <c r="H63" s="233"/>
    </row>
    <row r="64" ht="15.75" customHeight="1">
      <c r="B64" s="234"/>
      <c r="C64" s="234"/>
      <c r="D64" s="234"/>
      <c r="E64" s="234"/>
      <c r="F64" s="234"/>
      <c r="G64" s="234"/>
      <c r="H64" s="233"/>
    </row>
    <row r="65" ht="15.75" customHeight="1">
      <c r="B65" s="234"/>
      <c r="C65" s="234"/>
      <c r="D65" s="234"/>
      <c r="E65" s="234"/>
      <c r="F65" s="234"/>
      <c r="G65" s="234"/>
      <c r="H65" s="233"/>
    </row>
    <row r="66" ht="15.75" customHeight="1">
      <c r="B66" s="234"/>
      <c r="C66" s="234"/>
      <c r="D66" s="234"/>
      <c r="E66" s="234"/>
      <c r="F66" s="234"/>
      <c r="G66" s="234"/>
      <c r="H66" s="233"/>
    </row>
    <row r="67" ht="15.75" customHeight="1">
      <c r="B67" s="234"/>
      <c r="C67" s="234"/>
      <c r="D67" s="234"/>
      <c r="E67" s="234"/>
      <c r="F67" s="234"/>
      <c r="G67" s="234"/>
      <c r="H67" s="233"/>
    </row>
    <row r="68" ht="15.75" customHeight="1">
      <c r="B68" s="234"/>
      <c r="C68" s="234"/>
      <c r="D68" s="234"/>
      <c r="E68" s="234"/>
      <c r="F68" s="234"/>
      <c r="G68" s="234"/>
      <c r="H68" s="233"/>
    </row>
    <row r="69" ht="15.75" customHeight="1">
      <c r="B69" s="234"/>
      <c r="C69" s="234"/>
      <c r="D69" s="234"/>
      <c r="E69" s="234"/>
      <c r="F69" s="234"/>
      <c r="G69" s="234"/>
      <c r="H69" s="233"/>
    </row>
    <row r="70" ht="15.75" customHeight="1">
      <c r="B70" s="234"/>
      <c r="C70" s="234"/>
      <c r="D70" s="234"/>
      <c r="E70" s="234"/>
      <c r="F70" s="234"/>
      <c r="G70" s="234"/>
      <c r="H70" s="233"/>
    </row>
    <row r="71" ht="15.75" customHeight="1">
      <c r="B71" s="234"/>
      <c r="C71" s="234"/>
      <c r="D71" s="234"/>
      <c r="E71" s="234"/>
      <c r="F71" s="234"/>
      <c r="G71" s="234"/>
      <c r="H71" s="233"/>
    </row>
    <row r="72" ht="15.75" customHeight="1">
      <c r="B72" s="234"/>
      <c r="C72" s="234"/>
      <c r="D72" s="234"/>
      <c r="E72" s="234"/>
      <c r="F72" s="234"/>
      <c r="G72" s="234"/>
      <c r="H72" s="233"/>
    </row>
    <row r="73" ht="15.75" customHeight="1">
      <c r="B73" s="234"/>
      <c r="C73" s="234"/>
      <c r="D73" s="234"/>
      <c r="E73" s="234"/>
      <c r="F73" s="234"/>
      <c r="G73" s="234"/>
      <c r="H73" s="233"/>
    </row>
    <row r="74" ht="15.75" customHeight="1">
      <c r="B74" s="234"/>
      <c r="C74" s="234"/>
      <c r="D74" s="234"/>
      <c r="E74" s="234"/>
      <c r="F74" s="234"/>
      <c r="G74" s="234"/>
      <c r="H74" s="233"/>
    </row>
    <row r="75" ht="15.75" customHeight="1">
      <c r="B75" s="234"/>
      <c r="C75" s="234"/>
      <c r="D75" s="234"/>
      <c r="E75" s="234"/>
      <c r="F75" s="234"/>
      <c r="G75" s="234"/>
      <c r="H75" s="233"/>
    </row>
    <row r="76" ht="15.75" customHeight="1">
      <c r="B76" s="234"/>
      <c r="C76" s="234"/>
      <c r="D76" s="234"/>
      <c r="E76" s="234"/>
      <c r="F76" s="234"/>
      <c r="G76" s="234"/>
      <c r="H76" s="233"/>
    </row>
    <row r="77" ht="15.75" customHeight="1">
      <c r="B77" s="234"/>
      <c r="C77" s="234"/>
      <c r="D77" s="234"/>
      <c r="E77" s="234"/>
      <c r="F77" s="234"/>
      <c r="G77" s="234"/>
      <c r="H77" s="233"/>
    </row>
    <row r="78" ht="15.75" customHeight="1">
      <c r="B78" s="234"/>
      <c r="C78" s="234"/>
      <c r="D78" s="234"/>
      <c r="E78" s="234"/>
      <c r="F78" s="234"/>
      <c r="G78" s="234"/>
      <c r="H78" s="233"/>
    </row>
    <row r="79" ht="15.75" customHeight="1">
      <c r="B79" s="234"/>
      <c r="C79" s="234"/>
      <c r="D79" s="234"/>
      <c r="E79" s="234"/>
      <c r="F79" s="234"/>
      <c r="G79" s="234"/>
      <c r="H79" s="233"/>
    </row>
    <row r="80" ht="15.75" customHeight="1">
      <c r="B80" s="234"/>
      <c r="C80" s="234"/>
      <c r="D80" s="234"/>
      <c r="E80" s="234"/>
      <c r="F80" s="234"/>
      <c r="G80" s="234"/>
      <c r="H80" s="233"/>
    </row>
    <row r="81" ht="15.75" customHeight="1">
      <c r="B81" s="234"/>
      <c r="C81" s="234"/>
      <c r="D81" s="234"/>
      <c r="E81" s="234"/>
      <c r="F81" s="234"/>
      <c r="G81" s="234"/>
      <c r="H81" s="233"/>
    </row>
    <row r="82" ht="15.75" customHeight="1">
      <c r="B82" s="234"/>
      <c r="C82" s="234"/>
      <c r="D82" s="234"/>
      <c r="E82" s="234"/>
      <c r="F82" s="234"/>
      <c r="G82" s="234"/>
      <c r="H82" s="233"/>
    </row>
    <row r="83" ht="15.75" customHeight="1">
      <c r="B83" s="234"/>
      <c r="C83" s="234"/>
      <c r="D83" s="234"/>
      <c r="E83" s="234"/>
      <c r="F83" s="234"/>
      <c r="G83" s="234"/>
      <c r="H83" s="233"/>
    </row>
    <row r="84" ht="15.75" customHeight="1">
      <c r="B84" s="234"/>
      <c r="C84" s="234"/>
      <c r="D84" s="234"/>
      <c r="E84" s="234"/>
      <c r="F84" s="234"/>
      <c r="G84" s="234"/>
      <c r="H84" s="233"/>
    </row>
    <row r="85" ht="15.75" customHeight="1">
      <c r="B85" s="234"/>
      <c r="C85" s="234"/>
      <c r="D85" s="234"/>
      <c r="E85" s="234"/>
      <c r="F85" s="234"/>
      <c r="G85" s="234"/>
      <c r="H85" s="233"/>
    </row>
    <row r="86" ht="15.75" customHeight="1">
      <c r="B86" s="234"/>
      <c r="C86" s="234"/>
      <c r="D86" s="234"/>
      <c r="E86" s="234"/>
      <c r="F86" s="234"/>
      <c r="G86" s="234"/>
      <c r="H86" s="233"/>
    </row>
    <row r="87" ht="15.75" customHeight="1">
      <c r="B87" s="234"/>
      <c r="C87" s="234"/>
      <c r="D87" s="234"/>
      <c r="E87" s="234"/>
      <c r="F87" s="234"/>
      <c r="G87" s="234"/>
      <c r="H87" s="233"/>
    </row>
    <row r="88" ht="15.75" customHeight="1">
      <c r="B88" s="234"/>
      <c r="C88" s="234"/>
      <c r="D88" s="234"/>
      <c r="E88" s="234"/>
      <c r="F88" s="234"/>
      <c r="G88" s="234"/>
      <c r="H88" s="233"/>
    </row>
    <row r="89" ht="15.75" customHeight="1">
      <c r="B89" s="234"/>
      <c r="C89" s="234"/>
      <c r="D89" s="234"/>
      <c r="E89" s="234"/>
      <c r="F89" s="234"/>
      <c r="G89" s="234"/>
      <c r="H89" s="233"/>
    </row>
    <row r="90" ht="15.75" customHeight="1">
      <c r="B90" s="234"/>
      <c r="C90" s="234"/>
      <c r="D90" s="234"/>
      <c r="E90" s="234"/>
      <c r="F90" s="234"/>
      <c r="G90" s="234"/>
      <c r="H90" s="233"/>
    </row>
    <row r="91" ht="15.75" customHeight="1">
      <c r="B91" s="234"/>
      <c r="C91" s="234"/>
      <c r="D91" s="234"/>
      <c r="E91" s="234"/>
      <c r="F91" s="234"/>
      <c r="G91" s="234"/>
      <c r="H91" s="233"/>
    </row>
    <row r="92" ht="15.75" customHeight="1">
      <c r="B92" s="234"/>
      <c r="C92" s="234"/>
      <c r="D92" s="234"/>
      <c r="E92" s="234"/>
      <c r="F92" s="234"/>
      <c r="G92" s="234"/>
      <c r="H92" s="233"/>
    </row>
    <row r="93" ht="15.75" customHeight="1">
      <c r="B93" s="234"/>
      <c r="C93" s="234"/>
      <c r="D93" s="234"/>
      <c r="E93" s="234"/>
      <c r="F93" s="234"/>
      <c r="G93" s="234"/>
      <c r="H93" s="233"/>
    </row>
    <row r="94" ht="15.75" customHeight="1">
      <c r="B94" s="234"/>
      <c r="C94" s="234"/>
      <c r="D94" s="234"/>
      <c r="E94" s="234"/>
      <c r="F94" s="234"/>
      <c r="G94" s="234"/>
      <c r="H94" s="233"/>
    </row>
    <row r="95" ht="15.75" customHeight="1">
      <c r="B95" s="234"/>
      <c r="C95" s="234"/>
      <c r="D95" s="234"/>
      <c r="E95" s="234"/>
      <c r="F95" s="234"/>
      <c r="G95" s="234"/>
      <c r="H95" s="233"/>
    </row>
    <row r="96" ht="15.75" customHeight="1">
      <c r="B96" s="234"/>
      <c r="C96" s="234"/>
      <c r="D96" s="234"/>
      <c r="E96" s="234"/>
      <c r="F96" s="234"/>
      <c r="G96" s="234"/>
      <c r="H96" s="233"/>
    </row>
    <row r="97" ht="15.75" customHeight="1">
      <c r="B97" s="234"/>
      <c r="C97" s="234"/>
      <c r="D97" s="234"/>
      <c r="E97" s="234"/>
      <c r="F97" s="234"/>
      <c r="G97" s="234"/>
      <c r="H97" s="233"/>
    </row>
    <row r="98" ht="15.75" customHeight="1">
      <c r="B98" s="234"/>
      <c r="C98" s="234"/>
      <c r="D98" s="234"/>
      <c r="E98" s="234"/>
      <c r="F98" s="234"/>
      <c r="G98" s="234"/>
      <c r="H98" s="233"/>
    </row>
    <row r="99" ht="15.75" customHeight="1">
      <c r="B99" s="234"/>
      <c r="C99" s="234"/>
      <c r="D99" s="234"/>
      <c r="E99" s="234"/>
      <c r="F99" s="234"/>
      <c r="G99" s="234"/>
      <c r="H99" s="233"/>
    </row>
    <row r="100" ht="15.75" customHeight="1">
      <c r="B100" s="234"/>
      <c r="C100" s="234"/>
      <c r="D100" s="234"/>
      <c r="E100" s="234"/>
      <c r="F100" s="234"/>
      <c r="G100" s="234"/>
      <c r="H100" s="233"/>
    </row>
    <row r="101" ht="15.75" customHeight="1">
      <c r="B101" s="234"/>
      <c r="C101" s="234"/>
      <c r="D101" s="234"/>
      <c r="E101" s="234"/>
      <c r="F101" s="234"/>
      <c r="G101" s="234"/>
      <c r="H101" s="233"/>
    </row>
    <row r="102" ht="15.75" customHeight="1">
      <c r="B102" s="234"/>
      <c r="C102" s="234"/>
      <c r="D102" s="234"/>
      <c r="E102" s="234"/>
      <c r="F102" s="234"/>
      <c r="G102" s="234"/>
      <c r="H102" s="233"/>
    </row>
    <row r="103" ht="15.75" customHeight="1">
      <c r="B103" s="234"/>
      <c r="C103" s="234"/>
      <c r="D103" s="234"/>
      <c r="E103" s="234"/>
      <c r="F103" s="234"/>
      <c r="G103" s="234"/>
      <c r="H103" s="233"/>
    </row>
    <row r="104" ht="15.75" customHeight="1">
      <c r="B104" s="234"/>
      <c r="C104" s="234"/>
      <c r="D104" s="234"/>
      <c r="E104" s="234"/>
      <c r="F104" s="234"/>
      <c r="G104" s="234"/>
      <c r="H104" s="233"/>
    </row>
    <row r="105" ht="15.75" customHeight="1">
      <c r="B105" s="234"/>
      <c r="C105" s="234"/>
      <c r="D105" s="234"/>
      <c r="E105" s="234"/>
      <c r="F105" s="234"/>
      <c r="G105" s="234"/>
      <c r="H105" s="233"/>
    </row>
    <row r="106" ht="15.75" customHeight="1">
      <c r="B106" s="234"/>
      <c r="C106" s="234"/>
      <c r="D106" s="234"/>
      <c r="E106" s="234"/>
      <c r="F106" s="234"/>
      <c r="G106" s="234"/>
      <c r="H106" s="233"/>
    </row>
    <row r="107" ht="15.75" customHeight="1">
      <c r="B107" s="234"/>
      <c r="C107" s="234"/>
      <c r="D107" s="234"/>
      <c r="E107" s="234"/>
      <c r="F107" s="234"/>
      <c r="G107" s="234"/>
      <c r="H107" s="233"/>
    </row>
    <row r="108" ht="15.75" customHeight="1">
      <c r="B108" s="234"/>
      <c r="C108" s="234"/>
      <c r="D108" s="234"/>
      <c r="E108" s="234"/>
      <c r="F108" s="234"/>
      <c r="G108" s="234"/>
      <c r="H108" s="233"/>
    </row>
    <row r="109" ht="15.75" customHeight="1">
      <c r="B109" s="234"/>
      <c r="C109" s="234"/>
      <c r="D109" s="234"/>
      <c r="E109" s="234"/>
      <c r="F109" s="234"/>
      <c r="G109" s="234"/>
      <c r="H109" s="233"/>
    </row>
    <row r="110" ht="15.75" customHeight="1">
      <c r="B110" s="234"/>
      <c r="C110" s="234"/>
      <c r="D110" s="234"/>
      <c r="E110" s="234"/>
      <c r="F110" s="234"/>
      <c r="G110" s="234"/>
      <c r="H110" s="233"/>
    </row>
    <row r="111" ht="15.75" customHeight="1">
      <c r="B111" s="234"/>
      <c r="C111" s="234"/>
      <c r="D111" s="234"/>
      <c r="E111" s="234"/>
      <c r="F111" s="234"/>
      <c r="G111" s="234"/>
      <c r="H111" s="233"/>
    </row>
    <row r="112" ht="15.75" customHeight="1">
      <c r="B112" s="234"/>
      <c r="C112" s="234"/>
      <c r="D112" s="234"/>
      <c r="E112" s="234"/>
      <c r="F112" s="234"/>
      <c r="G112" s="234"/>
      <c r="H112" s="233"/>
    </row>
    <row r="113" ht="15.75" customHeight="1">
      <c r="B113" s="234"/>
      <c r="C113" s="234"/>
      <c r="D113" s="234"/>
      <c r="E113" s="234"/>
      <c r="F113" s="234"/>
      <c r="G113" s="234"/>
      <c r="H113" s="233"/>
    </row>
    <row r="114" ht="15.75" customHeight="1">
      <c r="B114" s="234"/>
      <c r="C114" s="234"/>
      <c r="D114" s="234"/>
      <c r="E114" s="234"/>
      <c r="F114" s="234"/>
      <c r="G114" s="234"/>
      <c r="H114" s="233"/>
    </row>
    <row r="115" ht="15.75" customHeight="1">
      <c r="B115" s="234"/>
      <c r="C115" s="234"/>
      <c r="D115" s="234"/>
      <c r="E115" s="234"/>
      <c r="F115" s="234"/>
      <c r="G115" s="234"/>
      <c r="H115" s="233"/>
    </row>
    <row r="116" ht="15.75" customHeight="1">
      <c r="B116" s="234"/>
      <c r="C116" s="234"/>
      <c r="D116" s="234"/>
      <c r="E116" s="234"/>
      <c r="F116" s="234"/>
      <c r="G116" s="234"/>
      <c r="H116" s="233"/>
    </row>
    <row r="117" ht="15.75" customHeight="1">
      <c r="B117" s="234"/>
      <c r="C117" s="234"/>
      <c r="D117" s="234"/>
      <c r="E117" s="234"/>
      <c r="F117" s="234"/>
      <c r="G117" s="234"/>
      <c r="H117" s="233"/>
    </row>
    <row r="118" ht="15.75" customHeight="1">
      <c r="B118" s="234"/>
      <c r="C118" s="234"/>
      <c r="D118" s="234"/>
      <c r="E118" s="234"/>
      <c r="F118" s="234"/>
      <c r="G118" s="234"/>
      <c r="H118" s="233"/>
    </row>
    <row r="119" ht="15.75" customHeight="1">
      <c r="B119" s="234"/>
      <c r="C119" s="234"/>
      <c r="D119" s="234"/>
      <c r="E119" s="234"/>
      <c r="F119" s="234"/>
      <c r="G119" s="234"/>
      <c r="H119" s="233"/>
    </row>
    <row r="120" ht="15.75" customHeight="1">
      <c r="B120" s="234"/>
      <c r="C120" s="234"/>
      <c r="D120" s="234"/>
      <c r="E120" s="234"/>
      <c r="F120" s="234"/>
      <c r="G120" s="234"/>
      <c r="H120" s="233"/>
    </row>
    <row r="121" ht="15.75" customHeight="1">
      <c r="B121" s="234"/>
      <c r="C121" s="234"/>
      <c r="D121" s="234"/>
      <c r="E121" s="234"/>
      <c r="F121" s="234"/>
      <c r="G121" s="234"/>
      <c r="H121" s="233"/>
    </row>
    <row r="122" ht="15.75" customHeight="1">
      <c r="B122" s="234"/>
      <c r="C122" s="234"/>
      <c r="D122" s="234"/>
      <c r="E122" s="234"/>
      <c r="F122" s="234"/>
      <c r="G122" s="234"/>
      <c r="H122" s="233"/>
    </row>
    <row r="123" ht="15.75" customHeight="1">
      <c r="B123" s="234"/>
      <c r="C123" s="234"/>
      <c r="D123" s="234"/>
      <c r="E123" s="234"/>
      <c r="F123" s="234"/>
      <c r="G123" s="234"/>
      <c r="H123" s="233"/>
    </row>
    <row r="124" ht="15.75" customHeight="1">
      <c r="B124" s="234"/>
      <c r="C124" s="234"/>
      <c r="D124" s="234"/>
      <c r="E124" s="234"/>
      <c r="F124" s="234"/>
      <c r="G124" s="234"/>
      <c r="H124" s="233"/>
    </row>
    <row r="125" ht="15.75" customHeight="1">
      <c r="B125" s="234"/>
      <c r="C125" s="234"/>
      <c r="D125" s="234"/>
      <c r="E125" s="234"/>
      <c r="F125" s="234"/>
      <c r="G125" s="234"/>
      <c r="H125" s="233"/>
    </row>
    <row r="126" ht="15.75" customHeight="1">
      <c r="B126" s="234"/>
      <c r="C126" s="234"/>
      <c r="D126" s="234"/>
      <c r="E126" s="234"/>
      <c r="F126" s="234"/>
      <c r="G126" s="234"/>
      <c r="H126" s="233"/>
    </row>
    <row r="127" ht="15.75" customHeight="1">
      <c r="B127" s="234"/>
      <c r="C127" s="234"/>
      <c r="D127" s="234"/>
      <c r="E127" s="234"/>
      <c r="F127" s="234"/>
      <c r="G127" s="234"/>
      <c r="H127" s="233"/>
    </row>
    <row r="128" ht="15.75" customHeight="1">
      <c r="B128" s="234"/>
      <c r="C128" s="234"/>
      <c r="D128" s="234"/>
      <c r="E128" s="234"/>
      <c r="F128" s="234"/>
      <c r="G128" s="234"/>
      <c r="H128" s="233"/>
    </row>
    <row r="129" ht="15.75" customHeight="1">
      <c r="B129" s="234"/>
      <c r="C129" s="234"/>
      <c r="D129" s="234"/>
      <c r="E129" s="234"/>
      <c r="F129" s="234"/>
      <c r="G129" s="234"/>
      <c r="H129" s="233"/>
    </row>
    <row r="130" ht="15.75" customHeight="1">
      <c r="B130" s="234"/>
      <c r="C130" s="234"/>
      <c r="D130" s="234"/>
      <c r="E130" s="234"/>
      <c r="F130" s="234"/>
      <c r="G130" s="234"/>
      <c r="H130" s="233"/>
    </row>
    <row r="131" ht="15.75" customHeight="1">
      <c r="B131" s="234"/>
      <c r="C131" s="234"/>
      <c r="D131" s="234"/>
      <c r="E131" s="234"/>
      <c r="F131" s="234"/>
      <c r="G131" s="234"/>
      <c r="H131" s="233"/>
    </row>
    <row r="132" ht="15.75" customHeight="1">
      <c r="B132" s="234"/>
      <c r="C132" s="234"/>
      <c r="D132" s="234"/>
      <c r="E132" s="234"/>
      <c r="F132" s="234"/>
      <c r="G132" s="234"/>
      <c r="H132" s="233"/>
    </row>
    <row r="133" ht="15.75" customHeight="1">
      <c r="B133" s="234"/>
      <c r="C133" s="234"/>
      <c r="D133" s="234"/>
      <c r="E133" s="234"/>
      <c r="F133" s="234"/>
      <c r="G133" s="234"/>
      <c r="H133" s="233"/>
    </row>
    <row r="134" ht="15.75" customHeight="1">
      <c r="B134" s="234"/>
      <c r="C134" s="234"/>
      <c r="D134" s="234"/>
      <c r="E134" s="234"/>
      <c r="F134" s="234"/>
      <c r="G134" s="234"/>
      <c r="H134" s="233"/>
    </row>
    <row r="135" ht="15.75" customHeight="1">
      <c r="B135" s="234"/>
      <c r="C135" s="234"/>
      <c r="D135" s="234"/>
      <c r="E135" s="234"/>
      <c r="F135" s="234"/>
      <c r="G135" s="234"/>
      <c r="H135" s="233"/>
    </row>
    <row r="136" ht="15.75" customHeight="1">
      <c r="B136" s="234"/>
      <c r="C136" s="234"/>
      <c r="D136" s="234"/>
      <c r="E136" s="234"/>
      <c r="F136" s="234"/>
      <c r="G136" s="234"/>
      <c r="H136" s="233"/>
    </row>
    <row r="137" ht="15.75" customHeight="1">
      <c r="B137" s="234"/>
      <c r="C137" s="234"/>
      <c r="D137" s="234"/>
      <c r="E137" s="234"/>
      <c r="F137" s="234"/>
      <c r="G137" s="234"/>
      <c r="H137" s="233"/>
    </row>
    <row r="138" ht="15.75" customHeight="1">
      <c r="B138" s="234"/>
      <c r="C138" s="234"/>
      <c r="D138" s="234"/>
      <c r="E138" s="234"/>
      <c r="F138" s="234"/>
      <c r="G138" s="234"/>
      <c r="H138" s="233"/>
    </row>
    <row r="139" ht="15.75" customHeight="1">
      <c r="B139" s="234"/>
      <c r="C139" s="234"/>
      <c r="D139" s="234"/>
      <c r="E139" s="234"/>
      <c r="F139" s="234"/>
      <c r="G139" s="234"/>
      <c r="H139" s="233"/>
    </row>
    <row r="140" ht="15.75" customHeight="1">
      <c r="B140" s="234"/>
      <c r="C140" s="234"/>
      <c r="D140" s="234"/>
      <c r="E140" s="234"/>
      <c r="F140" s="234"/>
      <c r="G140" s="234"/>
      <c r="H140" s="233"/>
    </row>
    <row r="141" ht="15.75" customHeight="1">
      <c r="B141" s="234"/>
      <c r="C141" s="234"/>
      <c r="D141" s="234"/>
      <c r="E141" s="234"/>
      <c r="F141" s="234"/>
      <c r="G141" s="234"/>
      <c r="H141" s="233"/>
    </row>
    <row r="142" ht="15.75" customHeight="1">
      <c r="B142" s="234"/>
      <c r="C142" s="234"/>
      <c r="D142" s="234"/>
      <c r="E142" s="234"/>
      <c r="F142" s="234"/>
      <c r="G142" s="234"/>
      <c r="H142" s="233"/>
    </row>
    <row r="143" ht="15.75" customHeight="1">
      <c r="B143" s="234"/>
      <c r="C143" s="234"/>
      <c r="D143" s="234"/>
      <c r="E143" s="234"/>
      <c r="F143" s="234"/>
      <c r="G143" s="234"/>
      <c r="H143" s="233"/>
    </row>
    <row r="144" ht="15.75" customHeight="1">
      <c r="B144" s="234"/>
      <c r="C144" s="234"/>
      <c r="D144" s="234"/>
      <c r="E144" s="234"/>
      <c r="F144" s="234"/>
      <c r="G144" s="234"/>
      <c r="H144" s="233"/>
    </row>
    <row r="145" ht="15.75" customHeight="1">
      <c r="B145" s="234"/>
      <c r="C145" s="234"/>
      <c r="D145" s="234"/>
      <c r="E145" s="234"/>
      <c r="F145" s="234"/>
      <c r="G145" s="234"/>
      <c r="H145" s="233"/>
    </row>
    <row r="146" ht="15.75" customHeight="1">
      <c r="B146" s="234"/>
      <c r="C146" s="234"/>
      <c r="D146" s="234"/>
      <c r="E146" s="234"/>
      <c r="F146" s="234"/>
      <c r="G146" s="234"/>
      <c r="H146" s="233"/>
    </row>
    <row r="147" ht="15.75" customHeight="1">
      <c r="B147" s="234"/>
      <c r="C147" s="234"/>
      <c r="D147" s="234"/>
      <c r="E147" s="234"/>
      <c r="F147" s="234"/>
      <c r="G147" s="234"/>
      <c r="H147" s="233"/>
    </row>
    <row r="148" ht="15.75" customHeight="1">
      <c r="B148" s="234"/>
      <c r="C148" s="234"/>
      <c r="D148" s="234"/>
      <c r="E148" s="234"/>
      <c r="F148" s="234"/>
      <c r="G148" s="234"/>
      <c r="H148" s="233"/>
    </row>
    <row r="149" ht="15.75" customHeight="1">
      <c r="B149" s="234"/>
      <c r="C149" s="234"/>
      <c r="D149" s="234"/>
      <c r="E149" s="234"/>
      <c r="F149" s="234"/>
      <c r="G149" s="234"/>
      <c r="H149" s="233"/>
    </row>
    <row r="150" ht="15.75" customHeight="1">
      <c r="B150" s="234"/>
      <c r="C150" s="234"/>
      <c r="D150" s="234"/>
      <c r="E150" s="234"/>
      <c r="F150" s="234"/>
      <c r="G150" s="234"/>
      <c r="H150" s="233"/>
    </row>
    <row r="151" ht="15.75" customHeight="1">
      <c r="B151" s="234"/>
      <c r="C151" s="234"/>
      <c r="D151" s="234"/>
      <c r="E151" s="234"/>
      <c r="F151" s="234"/>
      <c r="G151" s="234"/>
      <c r="H151" s="233"/>
    </row>
    <row r="152" ht="15.75" customHeight="1">
      <c r="B152" s="234"/>
      <c r="C152" s="234"/>
      <c r="D152" s="234"/>
      <c r="E152" s="234"/>
      <c r="F152" s="234"/>
      <c r="G152" s="234"/>
      <c r="H152" s="233"/>
    </row>
    <row r="153" ht="15.75" customHeight="1">
      <c r="B153" s="234"/>
      <c r="C153" s="234"/>
      <c r="D153" s="234"/>
      <c r="E153" s="234"/>
      <c r="F153" s="234"/>
      <c r="G153" s="234"/>
      <c r="H153" s="233"/>
    </row>
    <row r="154" ht="15.75" customHeight="1">
      <c r="B154" s="234"/>
      <c r="C154" s="234"/>
      <c r="D154" s="234"/>
      <c r="E154" s="234"/>
      <c r="F154" s="234"/>
      <c r="G154" s="234"/>
      <c r="H154" s="233"/>
    </row>
    <row r="155" ht="15.75" customHeight="1">
      <c r="B155" s="234"/>
      <c r="C155" s="234"/>
      <c r="D155" s="234"/>
      <c r="E155" s="234"/>
      <c r="F155" s="234"/>
      <c r="G155" s="234"/>
      <c r="H155" s="233"/>
    </row>
    <row r="156" ht="15.75" customHeight="1">
      <c r="B156" s="234"/>
      <c r="C156" s="234"/>
      <c r="D156" s="234"/>
      <c r="E156" s="234"/>
      <c r="F156" s="234"/>
      <c r="G156" s="234"/>
      <c r="H156" s="233"/>
    </row>
    <row r="157" ht="15.75" customHeight="1">
      <c r="B157" s="234"/>
      <c r="C157" s="234"/>
      <c r="D157" s="234"/>
      <c r="E157" s="234"/>
      <c r="F157" s="234"/>
      <c r="G157" s="234"/>
      <c r="H157" s="233"/>
    </row>
    <row r="158" ht="15.75" customHeight="1">
      <c r="B158" s="234"/>
      <c r="C158" s="234"/>
      <c r="D158" s="234"/>
      <c r="E158" s="234"/>
      <c r="F158" s="234"/>
      <c r="G158" s="234"/>
      <c r="H158" s="233"/>
    </row>
    <row r="159" ht="15.75" customHeight="1">
      <c r="B159" s="234"/>
      <c r="C159" s="234"/>
      <c r="D159" s="234"/>
      <c r="E159" s="234"/>
      <c r="F159" s="234"/>
      <c r="G159" s="234"/>
      <c r="H159" s="233"/>
    </row>
    <row r="160" ht="15.75" customHeight="1">
      <c r="B160" s="234"/>
      <c r="C160" s="234"/>
      <c r="D160" s="234"/>
      <c r="E160" s="234"/>
      <c r="F160" s="234"/>
      <c r="G160" s="234"/>
      <c r="H160" s="233"/>
    </row>
    <row r="161" ht="15.75" customHeight="1">
      <c r="B161" s="234"/>
      <c r="C161" s="234"/>
      <c r="D161" s="234"/>
      <c r="E161" s="234"/>
      <c r="F161" s="234"/>
      <c r="G161" s="234"/>
      <c r="H161" s="233"/>
    </row>
    <row r="162" ht="15.75" customHeight="1">
      <c r="B162" s="234"/>
      <c r="C162" s="234"/>
      <c r="D162" s="234"/>
      <c r="E162" s="234"/>
      <c r="F162" s="234"/>
      <c r="G162" s="234"/>
      <c r="H162" s="233"/>
    </row>
    <row r="163" ht="15.75" customHeight="1">
      <c r="B163" s="234"/>
      <c r="C163" s="234"/>
      <c r="D163" s="234"/>
      <c r="E163" s="234"/>
      <c r="F163" s="234"/>
      <c r="G163" s="234"/>
      <c r="H163" s="233"/>
    </row>
    <row r="164" ht="15.75" customHeight="1">
      <c r="B164" s="234"/>
      <c r="C164" s="234"/>
      <c r="D164" s="234"/>
      <c r="E164" s="234"/>
      <c r="F164" s="234"/>
      <c r="G164" s="234"/>
      <c r="H164" s="233"/>
    </row>
    <row r="165" ht="15.75" customHeight="1">
      <c r="B165" s="234"/>
      <c r="C165" s="234"/>
      <c r="D165" s="234"/>
      <c r="E165" s="234"/>
      <c r="F165" s="234"/>
      <c r="G165" s="234"/>
      <c r="H165" s="233"/>
    </row>
    <row r="166" ht="15.75" customHeight="1">
      <c r="B166" s="234"/>
      <c r="C166" s="234"/>
      <c r="D166" s="234"/>
      <c r="E166" s="234"/>
      <c r="F166" s="234"/>
      <c r="G166" s="234"/>
      <c r="H166" s="233"/>
    </row>
    <row r="167" ht="15.75" customHeight="1">
      <c r="B167" s="234"/>
      <c r="C167" s="234"/>
      <c r="D167" s="234"/>
      <c r="E167" s="234"/>
      <c r="F167" s="234"/>
      <c r="G167" s="234"/>
      <c r="H167" s="233"/>
    </row>
    <row r="168" ht="15.75" customHeight="1">
      <c r="B168" s="234"/>
      <c r="C168" s="234"/>
      <c r="D168" s="234"/>
      <c r="E168" s="234"/>
      <c r="F168" s="234"/>
      <c r="G168" s="234"/>
      <c r="H168" s="233"/>
    </row>
    <row r="169" ht="15.75" customHeight="1">
      <c r="B169" s="234"/>
      <c r="C169" s="234"/>
      <c r="D169" s="234"/>
      <c r="E169" s="234"/>
      <c r="F169" s="234"/>
      <c r="G169" s="234"/>
      <c r="H169" s="233"/>
    </row>
    <row r="170" ht="15.75" customHeight="1">
      <c r="B170" s="234"/>
      <c r="C170" s="234"/>
      <c r="D170" s="234"/>
      <c r="E170" s="234"/>
      <c r="F170" s="234"/>
      <c r="G170" s="234"/>
      <c r="H170" s="233"/>
    </row>
    <row r="171" ht="15.75" customHeight="1">
      <c r="B171" s="234"/>
      <c r="C171" s="234"/>
      <c r="D171" s="234"/>
      <c r="E171" s="234"/>
      <c r="F171" s="234"/>
      <c r="G171" s="234"/>
      <c r="H171" s="233"/>
    </row>
    <row r="172" ht="15.75" customHeight="1">
      <c r="B172" s="234"/>
      <c r="C172" s="234"/>
      <c r="D172" s="234"/>
      <c r="E172" s="234"/>
      <c r="F172" s="234"/>
      <c r="G172" s="234"/>
      <c r="H172" s="233"/>
    </row>
    <row r="173" ht="15.75" customHeight="1">
      <c r="B173" s="234"/>
      <c r="C173" s="234"/>
      <c r="D173" s="234"/>
      <c r="E173" s="234"/>
      <c r="F173" s="234"/>
      <c r="G173" s="234"/>
      <c r="H173" s="233"/>
    </row>
    <row r="174" ht="15.75" customHeight="1">
      <c r="B174" s="234"/>
      <c r="C174" s="234"/>
      <c r="D174" s="234"/>
      <c r="E174" s="234"/>
      <c r="F174" s="234"/>
      <c r="G174" s="234"/>
      <c r="H174" s="233"/>
    </row>
    <row r="175" ht="15.75" customHeight="1">
      <c r="B175" s="234"/>
      <c r="C175" s="234"/>
      <c r="D175" s="234"/>
      <c r="E175" s="234"/>
      <c r="F175" s="234"/>
      <c r="G175" s="234"/>
      <c r="H175" s="233"/>
    </row>
    <row r="176" ht="15.75" customHeight="1">
      <c r="B176" s="234"/>
      <c r="C176" s="234"/>
      <c r="D176" s="234"/>
      <c r="E176" s="234"/>
      <c r="F176" s="234"/>
      <c r="G176" s="234"/>
      <c r="H176" s="233"/>
    </row>
    <row r="177" ht="15.75" customHeight="1">
      <c r="B177" s="234"/>
      <c r="C177" s="234"/>
      <c r="D177" s="234"/>
      <c r="E177" s="234"/>
      <c r="F177" s="234"/>
      <c r="G177" s="234"/>
      <c r="H177" s="233"/>
    </row>
    <row r="178" ht="15.75" customHeight="1">
      <c r="B178" s="234"/>
      <c r="C178" s="234"/>
      <c r="D178" s="234"/>
      <c r="E178" s="234"/>
      <c r="F178" s="234"/>
      <c r="G178" s="234"/>
      <c r="H178" s="233"/>
    </row>
    <row r="179" ht="15.75" customHeight="1">
      <c r="B179" s="234"/>
      <c r="C179" s="234"/>
      <c r="D179" s="234"/>
      <c r="E179" s="234"/>
      <c r="F179" s="234"/>
      <c r="G179" s="234"/>
      <c r="H179" s="233"/>
    </row>
    <row r="180" ht="15.75" customHeight="1">
      <c r="B180" s="234"/>
      <c r="C180" s="234"/>
      <c r="D180" s="234"/>
      <c r="E180" s="234"/>
      <c r="F180" s="234"/>
      <c r="G180" s="234"/>
      <c r="H180" s="233"/>
    </row>
    <row r="181" ht="15.75" customHeight="1">
      <c r="B181" s="234"/>
      <c r="C181" s="234"/>
      <c r="D181" s="234"/>
      <c r="E181" s="234"/>
      <c r="F181" s="234"/>
      <c r="G181" s="234"/>
      <c r="H181" s="233"/>
    </row>
    <row r="182" ht="15.75" customHeight="1">
      <c r="B182" s="234"/>
      <c r="C182" s="234"/>
      <c r="D182" s="234"/>
      <c r="E182" s="234"/>
      <c r="F182" s="234"/>
      <c r="G182" s="234"/>
      <c r="H182" s="233"/>
    </row>
    <row r="183" ht="15.75" customHeight="1">
      <c r="B183" s="234"/>
      <c r="C183" s="234"/>
      <c r="D183" s="234"/>
      <c r="E183" s="234"/>
      <c r="F183" s="234"/>
      <c r="G183" s="234"/>
      <c r="H183" s="233"/>
    </row>
    <row r="184" ht="15.75" customHeight="1">
      <c r="B184" s="234"/>
      <c r="C184" s="234"/>
      <c r="D184" s="234"/>
      <c r="E184" s="234"/>
      <c r="F184" s="234"/>
      <c r="G184" s="234"/>
      <c r="H184" s="233"/>
    </row>
    <row r="185" ht="15.75" customHeight="1">
      <c r="B185" s="234"/>
      <c r="C185" s="234"/>
      <c r="D185" s="234"/>
      <c r="E185" s="234"/>
      <c r="F185" s="234"/>
      <c r="G185" s="234"/>
      <c r="H185" s="233"/>
    </row>
    <row r="186" ht="15.75" customHeight="1">
      <c r="B186" s="234"/>
      <c r="C186" s="234"/>
      <c r="D186" s="234"/>
      <c r="E186" s="234"/>
      <c r="F186" s="234"/>
      <c r="G186" s="234"/>
      <c r="H186" s="233"/>
    </row>
    <row r="187" ht="15.75" customHeight="1">
      <c r="B187" s="234"/>
      <c r="C187" s="234"/>
      <c r="D187" s="234"/>
      <c r="E187" s="234"/>
      <c r="F187" s="234"/>
      <c r="G187" s="234"/>
      <c r="H187" s="233"/>
    </row>
    <row r="188" ht="15.75" customHeight="1">
      <c r="B188" s="234"/>
      <c r="C188" s="234"/>
      <c r="D188" s="234"/>
      <c r="E188" s="234"/>
      <c r="F188" s="234"/>
      <c r="G188" s="234"/>
      <c r="H188" s="233"/>
    </row>
    <row r="189" ht="15.75" customHeight="1">
      <c r="B189" s="234"/>
      <c r="C189" s="234"/>
      <c r="D189" s="234"/>
      <c r="E189" s="234"/>
      <c r="F189" s="234"/>
      <c r="G189" s="234"/>
      <c r="H189" s="233"/>
    </row>
    <row r="190" ht="15.75" customHeight="1">
      <c r="B190" s="234"/>
      <c r="C190" s="234"/>
      <c r="D190" s="234"/>
      <c r="E190" s="234"/>
      <c r="F190" s="234"/>
      <c r="G190" s="234"/>
      <c r="H190" s="233"/>
    </row>
    <row r="191" ht="15.75" customHeight="1">
      <c r="B191" s="234"/>
      <c r="C191" s="234"/>
      <c r="D191" s="234"/>
      <c r="E191" s="234"/>
      <c r="F191" s="234"/>
      <c r="G191" s="234"/>
      <c r="H191" s="233"/>
    </row>
    <row r="192" ht="15.75" customHeight="1">
      <c r="B192" s="234"/>
      <c r="C192" s="234"/>
      <c r="D192" s="234"/>
      <c r="E192" s="234"/>
      <c r="F192" s="234"/>
      <c r="G192" s="234"/>
      <c r="H192" s="233"/>
    </row>
    <row r="193" ht="15.75" customHeight="1">
      <c r="B193" s="234"/>
      <c r="C193" s="234"/>
      <c r="D193" s="234"/>
      <c r="E193" s="234"/>
      <c r="F193" s="234"/>
      <c r="G193" s="234"/>
      <c r="H193" s="233"/>
    </row>
    <row r="194" ht="15.75" customHeight="1">
      <c r="B194" s="234"/>
      <c r="C194" s="234"/>
      <c r="D194" s="234"/>
      <c r="E194" s="234"/>
      <c r="F194" s="234"/>
      <c r="G194" s="234"/>
      <c r="H194" s="233"/>
    </row>
    <row r="195" ht="15.75" customHeight="1">
      <c r="B195" s="234"/>
      <c r="C195" s="234"/>
      <c r="D195" s="234"/>
      <c r="E195" s="234"/>
      <c r="F195" s="234"/>
      <c r="G195" s="234"/>
      <c r="H195" s="233"/>
    </row>
    <row r="196" ht="15.75" customHeight="1">
      <c r="B196" s="234"/>
      <c r="C196" s="234"/>
      <c r="D196" s="234"/>
      <c r="E196" s="234"/>
      <c r="F196" s="234"/>
      <c r="G196" s="234"/>
      <c r="H196" s="233"/>
    </row>
    <row r="197" ht="15.75" customHeight="1">
      <c r="B197" s="234"/>
      <c r="C197" s="234"/>
      <c r="D197" s="234"/>
      <c r="E197" s="234"/>
      <c r="F197" s="234"/>
      <c r="G197" s="234"/>
      <c r="H197" s="233"/>
    </row>
    <row r="198" ht="15.75" customHeight="1">
      <c r="B198" s="234"/>
      <c r="C198" s="234"/>
      <c r="D198" s="234"/>
      <c r="E198" s="234"/>
      <c r="F198" s="234"/>
      <c r="G198" s="234"/>
      <c r="H198" s="233"/>
    </row>
    <row r="199" ht="15.75" customHeight="1">
      <c r="B199" s="234"/>
      <c r="C199" s="234"/>
      <c r="D199" s="234"/>
      <c r="E199" s="234"/>
      <c r="F199" s="234"/>
      <c r="G199" s="234"/>
      <c r="H199" s="233"/>
    </row>
    <row r="200" ht="15.75" customHeight="1">
      <c r="B200" s="234"/>
      <c r="C200" s="234"/>
      <c r="D200" s="234"/>
      <c r="E200" s="234"/>
      <c r="F200" s="234"/>
      <c r="G200" s="234"/>
      <c r="H200" s="233"/>
    </row>
    <row r="201" ht="15.75" customHeight="1">
      <c r="B201" s="234"/>
      <c r="C201" s="234"/>
      <c r="D201" s="234"/>
      <c r="E201" s="234"/>
      <c r="F201" s="234"/>
      <c r="G201" s="234"/>
      <c r="H201" s="233"/>
    </row>
    <row r="202" ht="15.75" customHeight="1">
      <c r="B202" s="234"/>
      <c r="C202" s="234"/>
      <c r="D202" s="234"/>
      <c r="E202" s="234"/>
      <c r="F202" s="234"/>
      <c r="G202" s="234"/>
      <c r="H202" s="233"/>
    </row>
    <row r="203" ht="15.75" customHeight="1">
      <c r="B203" s="234"/>
      <c r="C203" s="234"/>
      <c r="D203" s="234"/>
      <c r="E203" s="234"/>
      <c r="F203" s="234"/>
      <c r="G203" s="234"/>
      <c r="H203" s="233"/>
    </row>
    <row r="204" ht="15.75" customHeight="1">
      <c r="B204" s="234"/>
      <c r="C204" s="234"/>
      <c r="D204" s="234"/>
      <c r="E204" s="234"/>
      <c r="F204" s="234"/>
      <c r="G204" s="234"/>
      <c r="H204" s="233"/>
    </row>
    <row r="205" ht="15.75" customHeight="1">
      <c r="B205" s="234"/>
      <c r="C205" s="234"/>
      <c r="D205" s="234"/>
      <c r="E205" s="234"/>
      <c r="F205" s="234"/>
      <c r="G205" s="234"/>
      <c r="H205" s="233"/>
    </row>
    <row r="206" ht="15.75" customHeight="1">
      <c r="B206" s="234"/>
      <c r="C206" s="234"/>
      <c r="D206" s="234"/>
      <c r="E206" s="234"/>
      <c r="F206" s="234"/>
      <c r="G206" s="234"/>
      <c r="H206" s="233"/>
    </row>
    <row r="207" ht="15.75" customHeight="1">
      <c r="B207" s="234"/>
      <c r="C207" s="234"/>
      <c r="D207" s="234"/>
      <c r="E207" s="234"/>
      <c r="F207" s="234"/>
      <c r="G207" s="234"/>
      <c r="H207" s="233"/>
    </row>
    <row r="208" ht="15.75" customHeight="1">
      <c r="B208" s="234"/>
      <c r="C208" s="234"/>
      <c r="D208" s="234"/>
      <c r="E208" s="234"/>
      <c r="F208" s="234"/>
      <c r="G208" s="234"/>
      <c r="H208" s="233"/>
    </row>
    <row r="209" ht="15.75" customHeight="1">
      <c r="B209" s="234"/>
      <c r="C209" s="234"/>
      <c r="D209" s="234"/>
      <c r="E209" s="234"/>
      <c r="F209" s="234"/>
      <c r="G209" s="234"/>
      <c r="H209" s="233"/>
    </row>
    <row r="210" ht="15.75" customHeight="1">
      <c r="B210" s="234"/>
      <c r="C210" s="234"/>
      <c r="D210" s="234"/>
      <c r="E210" s="234"/>
      <c r="F210" s="234"/>
      <c r="G210" s="234"/>
      <c r="H210" s="233"/>
    </row>
    <row r="211" ht="15.75" customHeight="1">
      <c r="B211" s="234"/>
      <c r="C211" s="234"/>
      <c r="D211" s="234"/>
      <c r="E211" s="234"/>
      <c r="F211" s="234"/>
      <c r="G211" s="234"/>
      <c r="H211" s="233"/>
    </row>
    <row r="212" ht="15.75" customHeight="1">
      <c r="B212" s="234"/>
      <c r="C212" s="234"/>
      <c r="D212" s="234"/>
      <c r="E212" s="234"/>
      <c r="F212" s="234"/>
      <c r="G212" s="234"/>
      <c r="H212" s="233"/>
    </row>
    <row r="213" ht="15.75" customHeight="1">
      <c r="B213" s="234"/>
      <c r="C213" s="234"/>
      <c r="D213" s="234"/>
      <c r="E213" s="234"/>
      <c r="F213" s="234"/>
      <c r="G213" s="234"/>
      <c r="H213" s="233"/>
    </row>
    <row r="214" ht="15.75" customHeight="1">
      <c r="B214" s="234"/>
      <c r="C214" s="234"/>
      <c r="D214" s="234"/>
      <c r="E214" s="234"/>
      <c r="F214" s="234"/>
      <c r="G214" s="234"/>
      <c r="H214" s="233"/>
    </row>
    <row r="215" ht="15.75" customHeight="1">
      <c r="B215" s="234"/>
      <c r="C215" s="234"/>
      <c r="D215" s="234"/>
      <c r="E215" s="234"/>
      <c r="F215" s="234"/>
      <c r="G215" s="234"/>
      <c r="H215" s="233"/>
    </row>
    <row r="216" ht="15.75" customHeight="1">
      <c r="B216" s="234"/>
      <c r="C216" s="234"/>
      <c r="D216" s="234"/>
      <c r="E216" s="234"/>
      <c r="F216" s="234"/>
      <c r="G216" s="234"/>
      <c r="H216" s="233"/>
    </row>
    <row r="217" ht="15.75" customHeight="1">
      <c r="B217" s="234"/>
      <c r="C217" s="234"/>
      <c r="D217" s="234"/>
      <c r="E217" s="234"/>
      <c r="F217" s="234"/>
      <c r="G217" s="234"/>
      <c r="H217" s="233"/>
    </row>
    <row r="218" ht="15.75" customHeight="1">
      <c r="B218" s="234"/>
      <c r="C218" s="234"/>
      <c r="D218" s="234"/>
      <c r="E218" s="234"/>
      <c r="F218" s="234"/>
      <c r="G218" s="234"/>
      <c r="H218" s="233"/>
    </row>
    <row r="219" ht="15.75" customHeight="1">
      <c r="B219" s="234"/>
      <c r="C219" s="234"/>
      <c r="D219" s="234"/>
      <c r="E219" s="234"/>
      <c r="F219" s="234"/>
      <c r="G219" s="234"/>
      <c r="H219" s="233"/>
    </row>
    <row r="220" ht="15.75" customHeight="1">
      <c r="B220" s="234"/>
      <c r="C220" s="234"/>
      <c r="D220" s="234"/>
      <c r="E220" s="234"/>
      <c r="F220" s="234"/>
      <c r="G220" s="234"/>
      <c r="H220" s="2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